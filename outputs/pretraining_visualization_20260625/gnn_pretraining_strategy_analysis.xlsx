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cdeda7a20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88aa5c35d334d5d"/>
    <x:sheet xmlns:r="http://schemas.openxmlformats.org/officeDocument/2006/relationships" name="Metrics" sheetId="2" r:id="R18e319dee3bc4eed"/>
    <x:sheet xmlns:r="http://schemas.openxmlformats.org/officeDocument/2006/relationships" name="Heatmap" sheetId="3" r:id="R7d9d9ff2903a4819"/>
    <x:sheet xmlns:r="http://schemas.openxmlformats.org/officeDocument/2006/relationships" name="Raw Data" sheetId="4" r:id="Rec6562593fd8471c"/>
    <x:sheet xmlns:r="http://schemas.openxmlformats.org/officeDocument/2006/relationships" name="README" sheetId="5" r:id="R49833aba5d0548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"/>
    <x:numFmt numFmtId="202" formatCode="0"/>
    <x:numFmt numFmtId="203" formatCode="0.0000"/>
  </x:numFmts>
  <x:fonts count="13">
    <x:font>
      <x:sz val="11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20"/>
      <x:color rgb="FFFFFFFF"/>
      <x:name val="Carlito"/>
    </x:font>
    <x:font>
      <x:i/>
      <x:sz val="11"/>
      <x:color rgb="FF455A64"/>
      <x:name val="Carlito"/>
    </x:font>
    <x:font>
      <x:b/>
      <x:sz val="11"/>
      <x:color rgb="FF17324D"/>
      <x:name val="Carlito"/>
    </x:font>
    <x:font>
      <x:b/>
      <x:sz val="11"/>
      <x:color rgb="FF455A64"/>
      <x:name val="Carlito"/>
    </x:font>
    <x:font>
      <x:b/>
      <x:sz val="16"/>
      <x:color rgb="FF17324D"/>
      <x:name val="Carlito"/>
    </x:font>
    <x:font>
      <x:sz val="9"/>
      <x:color rgb="FF455A64"/>
      <x:name val="Carlito"/>
    </x:font>
    <x:font>
      <x:b/>
      <x:sz val="13"/>
      <x:color rgb="FFFFFFFF"/>
      <x:name val="Carlito"/>
    </x:font>
    <x:font>
      <x:sz val="11"/>
      <x:color rgb="FF455A64"/>
      <x:name val="Carlito"/>
    </x:font>
    <x:font>
      <x:b/>
      <x:sz val="9"/>
      <x:color rgb="FF17324D"/>
      <x:name val="Carlito"/>
    </x:font>
    <x:font>
      <x:b/>
      <x:sz val="18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E8F5F2"/>
      </x:patternFill>
    </x:fill>
    <x:fill>
      <x:patternFill patternType="solid">
        <x:fgColor rgb="FFFFF6D8"/>
      </x:patternFill>
    </x:fill>
    <x:fill>
      <x:patternFill patternType="solid">
        <x:fgColor rgb="FFFCEFEA"/>
      </x:patternFill>
    </x:fill>
    <x:fill>
      <x:patternFill patternType="solid">
        <x:fgColor rgb="FFFAFBFC"/>
      </x:patternFill>
    </x:fill>
    <x:fill>
      <x:patternFill patternType="solid">
        <x:fgColor rgb="FFF4F6F8"/>
      </x:patternFill>
    </x:fill>
    <x:fill>
      <x:patternFill patternType="solid">
        <x:fgColor rgb="FF2F6B9A"/>
      </x:patternFill>
    </x:fill>
    <x:fill>
      <x:patternFill patternType="solid">
        <x:fgColor rgb="FF2A9D8F"/>
      </x:patternFill>
    </x:fill>
    <x:fill>
      <x:patternFill patternType="solid">
        <x:fgColor rgb="FFF4A261"/>
      </x:patternFill>
    </x:fill>
    <x:fill>
      <x:patternFill patternType="solid">
        <x:fgColor rgb="FFFFF8E7"/>
      </x:patternFill>
    </x:fill>
  </x:fills>
  <x:borders count="13">
    <x:border/>
    <x:border>
      <x:bottom style="thin">
        <x:color rgb="FFE8ECEF"/>
      </x:bottom>
    </x:border>
    <x:border>
      <x:top style="thin">
        <x:color rgb="FFE8ECEF"/>
      </x:top>
      <x:bottom style="thin">
        <x:color rgb="FFE8ECEF"/>
      </x:bottom>
    </x:border>
    <x:border>
      <x:top style="thin">
        <x:color rgb="FFE8ECEF"/>
      </x:top>
      <x:bottom style="thin">
        <x:color rgb="FFD7DEE5"/>
      </x:bottom>
    </x:border>
    <x:border>
      <x:top style="thin">
        <x:color rgb="FFE8ECEF"/>
      </x:top>
    </x:border>
    <x:border>
      <x:left style="thin">
        <x:color rgb="FFD7DEE5"/>
      </x:left>
      <x:top style="thin">
        <x:color rgb="FFD7DEE5"/>
      </x:top>
    </x:border>
    <x:border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</x:border>
    <x:border>
      <x:right style="thin">
        <x:color rgb="FFD7DEE5"/>
      </x:right>
    </x:border>
    <x:border>
      <x:left style="thin">
        <x:color rgb="FFD7DEE5"/>
      </x:left>
      <x:bottom style="thin">
        <x:color rgb="FFD7DEE5"/>
      </x:bottom>
    </x:border>
    <x:border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</x:borders>
  <x:cellStyleXfs count="1">
    <x:xf numFmtId="0" fontId="0" fillId="0" borderId="0"/>
  </x:cellStyleXfs>
  <x:cellXfs count="2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0" borderId="3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5" fillId="3" borderId="5" xfId="0" applyNumberFormat="1" applyFont="1" applyFill="1" applyBorder="1"/>
    <x:xf numFmtId="0" fontId="6" fillId="3" borderId="8" xfId="0" applyNumberFormat="1" applyFont="1" applyFill="1" applyBorder="1"/>
    <x:xf numFmtId="0" fontId="6" fillId="3" borderId="8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/>
    <x:xf numFmtId="0" fontId="7" fillId="3" borderId="8" xfId="0" applyNumberFormat="1" applyFont="1" applyFill="1" applyBorder="1" applyAlignment="1">
      <x:alignment horizontal="center"/>
    </x:xf>
    <x:xf numFmtId="0" fontId="8" fillId="3" borderId="10" xfId="0" applyNumberFormat="1" applyFont="1" applyFill="1" applyBorder="1"/>
    <x:xf numFmtId="0" fontId="8" fillId="3" borderId="1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5" fillId="4" borderId="5" xfId="0" applyNumberFormat="1" applyFont="1" applyFill="1" applyBorder="1"/>
    <x:xf numFmtId="0" fontId="6" fillId="4" borderId="8" xfId="0" applyNumberFormat="1" applyFont="1" applyFill="1" applyBorder="1"/>
    <x:xf numFmtId="0" fontId="6" fillId="4" borderId="8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vertical="center" wrapText="1"/>
    </x:xf>
    <x:xf numFmtId="0" fontId="7" fillId="4" borderId="8" xfId="0" applyNumberFormat="1" applyFont="1" applyFill="1" applyBorder="1"/>
    <x:xf numFmtId="0" fontId="7" fillId="4" borderId="8" xfId="0" applyNumberFormat="1" applyFont="1" applyFill="1" applyBorder="1" applyAlignment="1">
      <x:alignment horizontal="center"/>
    </x:xf>
    <x:xf numFmtId="0" fontId="8" fillId="4" borderId="10" xfId="0" applyNumberFormat="1" applyFont="1" applyFill="1" applyBorder="1"/>
    <x:xf numFmtId="0" fontId="8" fillId="4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5" fillId="5" borderId="5" xfId="0" applyNumberFormat="1" applyFont="1" applyFill="1" applyBorder="1"/>
    <x:xf numFmtId="0" fontId="6" fillId="5" borderId="8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/>
    <x:xf numFmtId="0" fontId="7" fillId="5" borderId="8" xfId="0" applyNumberFormat="1" applyFont="1" applyFill="1" applyBorder="1" applyAlignment="1">
      <x:alignment horizontal="center"/>
    </x:xf>
    <x:xf numFmtId="0" fontId="8" fillId="5" borderId="10" xfId="0" applyNumberFormat="1" applyFont="1" applyFill="1" applyBorder="1"/>
    <x:xf numFmtId="0" fontId="8" fillId="5" borderId="1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2" xfId="0" applyNumberFormat="1" applyFont="1" applyFill="1" applyBorder="1"/>
    <x:xf numFmtId="0" fontId="5" fillId="6" borderId="5" xfId="0" applyNumberFormat="1" applyFont="1" applyFill="1" applyBorder="1"/>
    <x:xf numFmtId="0" fontId="6" fillId="6" borderId="8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/>
    <x:xf numFmtId="0" fontId="7" fillId="6" borderId="8" xfId="0" applyNumberFormat="1" applyFont="1" applyFill="1" applyBorder="1" applyAlignment="1">
      <x:alignment horizontal="center"/>
    </x:xf>
    <x:xf numFmtId="0" fontId="8" fillId="6" borderId="10" xfId="0" applyNumberFormat="1" applyFont="1" applyFill="1" applyBorder="1"/>
    <x:xf numFmtId="0" fontId="8" fillId="6" borderId="10" xfId="0" applyNumberFormat="1" applyFont="1" applyFill="1" applyBorder="1" applyAlignment="1">
      <x:alignment wrapText="1"/>
    </x:xf>
    <x:xf numFmtId="200" fontId="7" fillId="3" borderId="8" xfId="0" applyNumberFormat="1" applyFont="1" applyFill="1" applyBorder="1" applyAlignment="1">
      <x:alignment horizontal="center"/>
    </x:xf>
    <x:xf numFmtId="200" fontId="0" fillId="3" borderId="0" xfId="0" applyNumberFormat="1" applyFont="1" applyFill="1" applyBorder="1"/>
    <x:xf numFmtId="200" fontId="0" fillId="3" borderId="9" xfId="0" applyNumberFormat="1" applyFont="1" applyFill="1" applyBorder="1"/>
    <x:xf numFmtId="201" fontId="7" fillId="4" borderId="8" xfId="0" applyNumberFormat="1" applyFont="1" applyFill="1" applyBorder="1" applyAlignment="1">
      <x:alignment horizontal="center"/>
    </x:xf>
    <x:xf numFmtId="201" fontId="0" fillId="4" borderId="0" xfId="0" applyNumberFormat="1" applyFont="1" applyFill="1" applyBorder="1"/>
    <x:xf numFmtId="201" fontId="0" fillId="4" borderId="9" xfId="0" applyNumberFormat="1" applyFont="1" applyFill="1" applyBorder="1"/>
    <x:xf numFmtId="202" fontId="7" fillId="5" borderId="8" xfId="0" applyNumberFormat="1" applyFont="1" applyFill="1" applyBorder="1" applyAlignment="1">
      <x:alignment horizontal="center"/>
    </x:xf>
    <x:xf numFmtId="202" fontId="0" fillId="5" borderId="0" xfId="0" applyNumberFormat="1" applyFont="1" applyFill="1" applyBorder="1"/>
    <x:xf numFmtId="202" fontId="0" fillId="5" borderId="9" xfId="0" applyNumberFormat="1" applyFont="1" applyFill="1" applyBorder="1"/>
    <x:xf numFmtId="203" fontId="7" fillId="6" borderId="8" xfId="0" applyNumberFormat="1" applyFont="1" applyFill="1" applyBorder="1" applyAlignment="1">
      <x:alignment horizontal="center"/>
    </x:xf>
    <x:xf numFmtId="203" fontId="0" fillId="6" borderId="9" xfId="0" applyNumberFormat="1" applyFont="1" applyFill="1" applyBorder="1"/>
    <x:xf numFmtId="0" fontId="9" fillId="2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0" fontId="10" fillId="7" borderId="9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5" xfId="0" applyNumberFormat="1" applyFont="1" applyFill="1" applyBorder="1" applyAlignment="1">
      <x:alignment wrapText="1"/>
    </x:xf>
    <x:xf numFmtId="0" fontId="10" fillId="7" borderId="6" xfId="0" applyNumberFormat="1" applyFont="1" applyFill="1" applyBorder="1" applyAlignment="1">
      <x:alignment wrapText="1"/>
    </x:xf>
    <x:xf numFmtId="0" fontId="10" fillId="7" borderId="7" xfId="0" applyNumberFormat="1" applyFont="1" applyFill="1" applyBorder="1" applyAlignment="1">
      <x:alignment wrapText="1"/>
    </x:xf>
    <x:xf numFmtId="0" fontId="10" fillId="7" borderId="8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9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5" xfId="0" applyNumberFormat="1" applyFont="1" applyFill="1" applyBorder="1" applyAlignment="1">
      <x:alignment vertical="top" wrapText="1"/>
    </x:xf>
    <x:xf numFmtId="0" fontId="10" fillId="7" borderId="6" xfId="0" applyNumberFormat="1" applyFont="1" applyFill="1" applyBorder="1" applyAlignment="1">
      <x:alignment vertical="top" wrapText="1"/>
    </x:xf>
    <x:xf numFmtId="0" fontId="10" fillId="7" borderId="7" xfId="0" applyNumberFormat="1" applyFont="1" applyFill="1" applyBorder="1" applyAlignment="1">
      <x:alignment vertical="top" wrapText="1"/>
    </x:xf>
    <x:xf numFmtId="0" fontId="10" fillId="7" borderId="8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9" xfId="0" applyNumberFormat="1" applyFont="1" applyFill="1" applyBorder="1" applyAlignment="1">
      <x:alignment vertical="top" wrapText="1"/>
    </x:xf>
    <x:xf numFmtId="0" fontId="10" fillId="7" borderId="10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0" fillId="7" borderId="12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8" borderId="0" xfId="0" applyNumberFormat="1" applyFont="1" applyFill="1" applyBorder="1"/>
    <x:xf numFmtId="0" fontId="11" fillId="8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5" xfId="0" applyNumberFormat="1" applyFont="1" applyFill="1" applyBorder="1"/>
    <x:xf numFmtId="0" fontId="10" fillId="4" borderId="6" xfId="0" applyNumberFormat="1" applyFont="1" applyFill="1" applyBorder="1"/>
    <x:xf numFmtId="0" fontId="10" fillId="4" borderId="7" xfId="0" applyNumberFormat="1" applyFont="1" applyFill="1" applyBorder="1"/>
    <x:xf numFmtId="0" fontId="10" fillId="4" borderId="8" xfId="0" applyNumberFormat="1" applyFont="1" applyFill="1" applyBorder="1"/>
    <x:xf numFmtId="0" fontId="10" fillId="4" borderId="9" xfId="0" applyNumberFormat="1" applyFont="1" applyFill="1" applyBorder="1"/>
    <x:xf numFmtId="0" fontId="10" fillId="4" borderId="10" xfId="0" applyNumberFormat="1" applyFont="1" applyFill="1" applyBorder="1"/>
    <x:xf numFmtId="0" fontId="10" fillId="4" borderId="11" xfId="0" applyNumberFormat="1" applyFont="1" applyFill="1" applyBorder="1"/>
    <x:xf numFmtId="0" fontId="10" fillId="4" borderId="12" xfId="0" applyNumberFormat="1" applyFont="1" applyFill="1" applyBorder="1"/>
    <x:xf numFmtId="0" fontId="10" fillId="4" borderId="5" xfId="0" applyNumberFormat="1" applyFont="1" applyFill="1" applyBorder="1" applyAlignment="1">
      <x:alignment wrapText="1"/>
    </x:xf>
    <x:xf numFmtId="0" fontId="10" fillId="4" borderId="6" xfId="0" applyNumberFormat="1" applyFont="1" applyFill="1" applyBorder="1" applyAlignment="1">
      <x:alignment wrapText="1"/>
    </x:xf>
    <x:xf numFmtId="0" fontId="10" fillId="4" borderId="7" xfId="0" applyNumberFormat="1" applyFont="1" applyFill="1" applyBorder="1" applyAlignment="1">
      <x:alignment wrapText="1"/>
    </x:xf>
    <x:xf numFmtId="0" fontId="10" fillId="4" borderId="8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10" fillId="4" borderId="9" xfId="0" applyNumberFormat="1" applyFont="1" applyFill="1" applyBorder="1" applyAlignment="1">
      <x:alignment wrapText="1"/>
    </x:xf>
    <x:xf numFmtId="0" fontId="10" fillId="4" borderId="10" xfId="0" applyNumberFormat="1" applyFont="1" applyFill="1" applyBorder="1" applyAlignment="1">
      <x:alignment wrapText="1"/>
    </x:xf>
    <x:xf numFmtId="0" fontId="10" fillId="4" borderId="11" xfId="0" applyNumberFormat="1" applyFont="1" applyFill="1" applyBorder="1" applyAlignment="1">
      <x:alignment wrapText="1"/>
    </x:xf>
    <x:xf numFmtId="0" fontId="10" fillId="4" borderId="12" xfId="0" applyNumberFormat="1" applyFont="1" applyFill="1" applyBorder="1" applyAlignment="1">
      <x:alignment wrapText="1"/>
    </x:xf>
    <x:xf numFmtId="0" fontId="10" fillId="4" borderId="5" xfId="0" applyNumberFormat="1" applyFont="1" applyFill="1" applyBorder="1" applyAlignment="1">
      <x:alignment vertical="top" wrapText="1"/>
    </x:xf>
    <x:xf numFmtId="0" fontId="10" fillId="4" borderId="6" xfId="0" applyNumberFormat="1" applyFont="1" applyFill="1" applyBorder="1" applyAlignment="1">
      <x:alignment vertical="top" wrapText="1"/>
    </x:xf>
    <x:xf numFmtId="0" fontId="10" fillId="4" borderId="7" xfId="0" applyNumberFormat="1" applyFont="1" applyFill="1" applyBorder="1" applyAlignment="1">
      <x:alignment vertical="top" wrapText="1"/>
    </x:xf>
    <x:xf numFmtId="0" fontId="10" fillId="4" borderId="8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10" fillId="4" borderId="9" xfId="0" applyNumberFormat="1" applyFont="1" applyFill="1" applyBorder="1" applyAlignment="1">
      <x:alignment vertical="top" wrapText="1"/>
    </x:xf>
    <x:xf numFmtId="0" fontId="10" fillId="4" borderId="10" xfId="0" applyNumberFormat="1" applyFont="1" applyFill="1" applyBorder="1" applyAlignment="1">
      <x:alignment vertical="top" wrapText="1"/>
    </x:xf>
    <x:xf numFmtId="0" fontId="10" fillId="4" borderId="11" xfId="0" applyNumberFormat="1" applyFont="1" applyFill="1" applyBorder="1" applyAlignment="1">
      <x:alignment vertical="top" wrapText="1"/>
    </x:xf>
    <x:xf numFmtId="0" fontId="10" fillId="4" borderId="1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5" xfId="0" applyNumberFormat="1" applyFont="1" applyFill="1" applyBorder="1"/>
    <x:xf numFmtId="0" fontId="10" fillId="12" borderId="6" xfId="0" applyNumberFormat="1" applyFont="1" applyFill="1" applyBorder="1"/>
    <x:xf numFmtId="0" fontId="10" fillId="12" borderId="7" xfId="0" applyNumberFormat="1" applyFont="1" applyFill="1" applyBorder="1"/>
    <x:xf numFmtId="0" fontId="10" fillId="12" borderId="8" xfId="0" applyNumberFormat="1" applyFont="1" applyFill="1" applyBorder="1"/>
    <x:xf numFmtId="0" fontId="10" fillId="12" borderId="9" xfId="0" applyNumberFormat="1" applyFont="1" applyFill="1" applyBorder="1"/>
    <x:xf numFmtId="0" fontId="10" fillId="12" borderId="10" xfId="0" applyNumberFormat="1" applyFont="1" applyFill="1" applyBorder="1"/>
    <x:xf numFmtId="0" fontId="10" fillId="12" borderId="11" xfId="0" applyNumberFormat="1" applyFont="1" applyFill="1" applyBorder="1"/>
    <x:xf numFmtId="0" fontId="10" fillId="12" borderId="12" xfId="0" applyNumberFormat="1" applyFont="1" applyFill="1" applyBorder="1"/>
    <x:xf numFmtId="0" fontId="10" fillId="12" borderId="5" xfId="0" applyNumberFormat="1" applyFont="1" applyFill="1" applyBorder="1" applyAlignment="1">
      <x:alignment wrapText="1"/>
    </x:xf>
    <x:xf numFmtId="0" fontId="10" fillId="12" borderId="6" xfId="0" applyNumberFormat="1" applyFont="1" applyFill="1" applyBorder="1" applyAlignment="1">
      <x:alignment wrapText="1"/>
    </x:xf>
    <x:xf numFmtId="0" fontId="10" fillId="12" borderId="7" xfId="0" applyNumberFormat="1" applyFont="1" applyFill="1" applyBorder="1" applyAlignment="1">
      <x:alignment wrapText="1"/>
    </x:xf>
    <x:xf numFmtId="0" fontId="10" fillId="12" borderId="8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wrapText="1"/>
    </x:xf>
    <x:xf numFmtId="0" fontId="10" fillId="12" borderId="9" xfId="0" applyNumberFormat="1" applyFont="1" applyFill="1" applyBorder="1" applyAlignment="1">
      <x:alignment wrapText="1"/>
    </x:xf>
    <x:xf numFmtId="0" fontId="10" fillId="12" borderId="10" xfId="0" applyNumberFormat="1" applyFont="1" applyFill="1" applyBorder="1" applyAlignment="1">
      <x:alignment wrapText="1"/>
    </x:xf>
    <x:xf numFmtId="0" fontId="10" fillId="12" borderId="11" xfId="0" applyNumberFormat="1" applyFont="1" applyFill="1" applyBorder="1" applyAlignment="1">
      <x:alignment wrapText="1"/>
    </x:xf>
    <x:xf numFmtId="0" fontId="10" fillId="12" borderId="12" xfId="0" applyNumberFormat="1" applyFont="1" applyFill="1" applyBorder="1" applyAlignment="1">
      <x:alignment wrapText="1"/>
    </x:xf>
    <x:xf numFmtId="0" fontId="10" fillId="12" borderId="5" xfId="0" applyNumberFormat="1" applyFont="1" applyFill="1" applyBorder="1" applyAlignment="1">
      <x:alignment vertical="top" wrapText="1"/>
    </x:xf>
    <x:xf numFmtId="0" fontId="10" fillId="12" borderId="6" xfId="0" applyNumberFormat="1" applyFont="1" applyFill="1" applyBorder="1" applyAlignment="1">
      <x:alignment vertical="top" wrapText="1"/>
    </x:xf>
    <x:xf numFmtId="0" fontId="10" fillId="12" borderId="7" xfId="0" applyNumberFormat="1" applyFont="1" applyFill="1" applyBorder="1" applyAlignment="1">
      <x:alignment vertical="top" wrapText="1"/>
    </x:xf>
    <x:xf numFmtId="0" fontId="10" fillId="12" borderId="8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vertical="top" wrapText="1"/>
    </x:xf>
    <x:xf numFmtId="0" fontId="10" fillId="12" borderId="9" xfId="0" applyNumberFormat="1" applyFont="1" applyFill="1" applyBorder="1" applyAlignment="1">
      <x:alignment vertical="top" wrapText="1"/>
    </x:xf>
    <x:xf numFmtId="0" fontId="10" fillId="12" borderId="10" xfId="0" applyNumberFormat="1" applyFont="1" applyFill="1" applyBorder="1" applyAlignment="1">
      <x:alignment vertical="top" wrapText="1"/>
    </x:xf>
    <x:xf numFmtId="0" fontId="10" fillId="12" borderId="11" xfId="0" applyNumberFormat="1" applyFont="1" applyFill="1" applyBorder="1" applyAlignment="1">
      <x:alignment vertical="top" wrapText="1"/>
    </x:xf>
    <x:xf numFmtId="0" fontId="10" fillId="12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079f860da46b6" /><Relationship Type="http://schemas.openxmlformats.org/officeDocument/2006/relationships/theme" Target="/xl/theme/theme1.xml" Id="R8167cd13a1404974" /><Relationship Type="http://schemas.openxmlformats.org/officeDocument/2006/relationships/sharedStrings" Target="/xl/sharedStrings.xml" Id="R72cce3d78b8548fb" /><Relationship Type="http://schemas.openxmlformats.org/officeDocument/2006/relationships/worksheet" Target="/xl/worksheets/sheet1.xml" Id="R988aa5c35d334d5d" /><Relationship Type="http://schemas.openxmlformats.org/officeDocument/2006/relationships/worksheet" Target="/xl/worksheets/sheet2.xml" Id="R18e319dee3bc4eed" /><Relationship Type="http://schemas.openxmlformats.org/officeDocument/2006/relationships/worksheet" Target="/xl/worksheets/sheet3.xml" Id="R7d9d9ff2903a4819" /><Relationship Type="http://schemas.openxmlformats.org/officeDocument/2006/relationships/worksheet" Target="/xl/worksheets/sheet4.xml" Id="Rec6562593fd8471c" /><Relationship Type="http://schemas.openxmlformats.org/officeDocument/2006/relationships/worksheet" Target="/xl/worksheets/sheet5.xml" Id="R49833aba5d0548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eb2ed39ce54e53" /><Relationship Type="http://schemas.openxmlformats.org/officeDocument/2006/relationships/chart" Target="/xl/drawings/charts/chart2.xml" Id="R7a5e31d8acd74d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balanced scores; #1 and #2 differ by only 0.0002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Balanced score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'Dashboard'!$A$41:$A$50</c:f>
              <c:strCache>
                <c:ptCount val="0"/>
              </c:strCache>
            </c:strRef>
          </c:cat>
          <c:val>
            <c:numRef>
              <c:f>'Dashboard'!$B$41:$B$50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0.85"/>
          <c:min val="0.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approaches have different task-family profiles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LP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'Dashboard'!$E$41:$E$46</c:f>
              <c:strCache>
                <c:ptCount val="0"/>
              </c:strCache>
            </c:strRef>
          </c:cat>
          <c:val>
            <c:numRef>
              <c:f>'Dashboard'!$F$41:$F$46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NM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'Dashboard'!$E$41:$E$46</c:f>
              <c:strCache>
                <c:ptCount val="0"/>
              </c:strCache>
            </c:strRef>
          </c:cat>
          <c:val>
            <c:numRef>
              <c:f>'Dashboard'!$G$41:$G$46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PL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'Dashboard'!$E$41:$E$46</c:f>
              <c:strCache>
                <c:ptCount val="0"/>
              </c:strCache>
            </c:strRef>
          </c:cat>
          <c:val>
            <c:numRef>
              <c:f>'Dashboard'!$H$41:$H$46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  <c:min val="0.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eb2ed39ce54e53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5e31d8acd74d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MetricsTable" displayName="MetricsTable" ref="A1:L22" headerRowCount="1">
  <x:tableColumns count="12">
    <x:tableColumn id="1" name="train_id"/>
    <x:tableColumn id="2" name="Experiment"/>
    <x:tableColumn id="3" name="Pretrain Strategy"/>
    <x:tableColumn id="4" name="LP mean"/>
    <x:tableColumn id="5" name="NM mean"/>
    <x:tableColumn id="6" name="PL mean"/>
    <x:tableColumn id="7" name="Balanced score"/>
    <x:tableColumn id="8" name="All-test mean"/>
    <x:tableColumn id="9" name="Worst test"/>
    <x:tableColumn id="10" name="Mean test rank"/>
    <x:tableColumn id="11" name="Test wins"/>
    <x:tableColumn id="12" name="Mean regret vs best"/>
  </x:tableColumns>
  <x:tableStyleInfo name="TableStyleMedium2" showRowStripes="1"/>
</x:table>
</file>

<file path=xl/tables/table2.xml><?xml version="1.0" encoding="utf-8"?>
<x:table xmlns:x="http://schemas.openxmlformats.org/spreadsheetml/2006/main" id="1" name="RawResultsTable" displayName="RawResultsTable" ref="A1:O22" headerRowCount="1">
  <x:tableColumns count="15">
    <x:tableColumn id="1" name="train_id"/>
    <x:tableColumn id="2" name="covid19_twitter+lp"/>
    <x:tableColumn id="3" name="covid19_twitter+nm"/>
    <x:tableColumn id="4" name="covid_political+nm"/>
    <x:tableColumn id="5" name="covid_political+pl"/>
    <x:tableColumn id="6" name="election2020+nm"/>
    <x:tableColumn id="7" name="election2020+pl"/>
    <x:tableColumn id="8" name="midterm+lp"/>
    <x:tableColumn id="9" name="midterm+nm"/>
    <x:tableColumn id="10" name="ukr_rus_suspended+nm"/>
    <x:tableColumn id="11" name="ukr_rus_suspended+pl"/>
    <x:tableColumn id="12" name="ukr_rus_twitter+lp"/>
    <x:tableColumn id="13" name="ukr_rus_twitter+nm"/>
    <x:tableColumn id="14" name="Experiment"/>
    <x:tableColumn id="15" name="Pretrain Strateg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25f840eb034d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934ed13efd4b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5dc320bcb214d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24" t="str">
        <x:v>GNN Pretraining Strategy — Decision Dashboard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26" t="str">
        <x:v>Scores are compared four ways because one aggregate can hide task transfer and brittleness.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5" ht="24" customHeight="1">
      <x:c r="A5" s="35" t="str">
        <x:v>Best balanced score</x:v>
      </x:c>
      <x:c r="B5" s="28"/>
      <x:c r="C5" s="29"/>
      <x:c r="E5" s="52" t="str">
        <x:v>Best mean test rank</x:v>
      </x:c>
      <x:c r="F5" s="45"/>
      <x:c r="G5" s="46"/>
      <x:c r="I5" s="69" t="str">
        <x:v>Most test-suite wins</x:v>
      </x:c>
      <x:c r="J5" s="62"/>
      <x:c r="K5" s="63"/>
      <x:c r="M5" s="84" t="str">
        <x:v>Top-score gap</x:v>
      </x:c>
      <x:c r="N5" s="79"/>
    </x:row>
    <x:row r="6" ht="24" customHeight="1">
      <x:c r="A6" s="38" t="str">
        <x:v>midterm+nm&gt;covid19_twitter+nm</x:v>
      </x:c>
      <x:c r="B6" s="25"/>
      <x:c r="C6" s="31"/>
      <x:c r="E6" s="55" t="str">
        <x:v>covid19_twitter+nm</x:v>
      </x:c>
      <x:c r="F6" s="43"/>
      <x:c r="G6" s="48"/>
      <x:c r="I6" s="72" t="str">
        <x:v>merged_ukr_covid_midterm_aug_10k</x:v>
      </x:c>
      <x:c r="J6" s="60"/>
      <x:c r="K6" s="65"/>
      <x:c r="M6" s="87" t="str">
        <x:v>Near tie</x:v>
      </x:c>
      <x:c r="N6" s="81"/>
    </x:row>
    <x:row r="7" ht="24" customHeight="1">
      <x:c r="A7" s="92" t="n">
        <x:v>0.8222777777777778</x:v>
      </x:c>
      <x:c r="B7" s="93"/>
      <x:c r="C7" s="94"/>
      <x:c r="E7" s="95" t="n">
        <x:v>4.25</x:v>
      </x:c>
      <x:c r="F7" s="96"/>
      <x:c r="G7" s="97"/>
      <x:c r="I7" s="98" t="n">
        <x:v>5</x:v>
      </x:c>
      <x:c r="J7" s="99"/>
      <x:c r="K7" s="100"/>
      <x:c r="M7" s="101" t="n">
        <x:v>0.00022222222222223476</x:v>
      </x:c>
      <x:c r="N7" s="102"/>
    </x:row>
    <x:row r="8" ht="24" customHeight="1">
      <x:c r="A8" s="42" t="str">
        <x:v>Equal weight to LP, NM, and PL families</x:v>
      </x:c>
      <x:c r="B8" s="33"/>
      <x:c r="C8" s="34"/>
      <x:c r="E8" s="59" t="str">
        <x:v>Lower is better across all 12 tests</x:v>
      </x:c>
      <x:c r="F8" s="50"/>
      <x:c r="G8" s="51"/>
      <x:c r="I8" s="76" t="str">
        <x:v>Number of columns where approach is best</x:v>
      </x:c>
      <x:c r="J8" s="67"/>
      <x:c r="K8" s="68"/>
      <x:c r="M8" s="91" t="str">
        <x:v>#1 minus #2 balanced score</x:v>
      </x:c>
      <x:c r="N8" s="83"/>
    </x:row>
    <x:row r="10">
      <x:c r="A10" s="103" t="str">
        <x:v>What the current evidence says</x:v>
      </x:c>
      <x:c r="B10" s="103"/>
      <x:c r="C10" s="103"/>
      <x:c r="D10" s="103"/>
      <x:c r="E10" s="103"/>
      <x:c r="F10" s="103"/>
      <x:c r="G10" s="103"/>
      <x:c r="H10" s="103"/>
      <x:c r="I10" s="103"/>
      <x:c r="J10" s="103"/>
      <x:c r="K10" s="103"/>
      <x:c r="L10" s="103"/>
      <x:c r="M10" s="103"/>
      <x:c r="N10" s="103"/>
    </x:row>
    <x:row r="11" ht="27" customHeight="1">
      <x:c r="A11" s="123" t="str">
        <x:v>1. NM pretraining is the reliable core: all leading broad-transfer approaches use NM.
2. midterm+nm → covid19_twitter+nm and the 3-graph merged / 2-task joint model are effectively tied on the balanced score (gap ≈ 0.0002).
3. The 3-graph joint model is the strongest breadth option: it wins 5/12 tests and is much better on PL transfer, but gives up LP performance.
4. covid19_twitter+nm has the best average test rank and remains the strongest simple baseline.
5. PL-only pretraining is uniformly weak. LP-only pretraining specializes in LP and transfers poorly to PL/NM.
6. The final 3-graph run changes graph count, task count, merging/joint training, and augmentation together; its gain cannot be assigned to one design choice.
Important: there are no repeated seeds or uncertainty estimates here, so tiny differences should not be interpreted as statistically meaningful.</x:v>
      </x:c>
      <x:c r="B11" s="124"/>
      <x:c r="C11" s="124"/>
      <x:c r="D11" s="124"/>
      <x:c r="E11" s="124"/>
      <x:c r="F11" s="124"/>
      <x:c r="G11" s="124"/>
      <x:c r="H11" s="124"/>
      <x:c r="I11" s="124"/>
      <x:c r="J11" s="124"/>
      <x:c r="K11" s="124"/>
      <x:c r="L11" s="124"/>
      <x:c r="M11" s="124"/>
      <x:c r="N11" s="125"/>
    </x:row>
    <x:row r="12" ht="27" customHeight="1">
      <x:c r="A12" s="126"/>
      <x:c r="B12" s="127"/>
      <x:c r="C12" s="127"/>
      <x:c r="D12" s="127"/>
      <x:c r="E12" s="127"/>
      <x:c r="F12" s="127"/>
      <x:c r="G12" s="127"/>
      <x:c r="H12" s="127"/>
      <x:c r="I12" s="127"/>
      <x:c r="J12" s="127"/>
      <x:c r="K12" s="127"/>
      <x:c r="L12" s="127"/>
      <x:c r="M12" s="127"/>
      <x:c r="N12" s="128"/>
    </x:row>
    <x:row r="13" ht="27" customHeight="1">
      <x:c r="A13" s="126"/>
      <x:c r="B13" s="127"/>
      <x:c r="C13" s="127"/>
      <x:c r="D13" s="127"/>
      <x:c r="E13" s="127"/>
      <x:c r="F13" s="127"/>
      <x:c r="G13" s="127"/>
      <x:c r="H13" s="127"/>
      <x:c r="I13" s="127"/>
      <x:c r="J13" s="127"/>
      <x:c r="K13" s="127"/>
      <x:c r="L13" s="127"/>
      <x:c r="M13" s="127"/>
      <x:c r="N13" s="128"/>
    </x:row>
    <x:row r="14" ht="27" customHeight="1">
      <x:c r="A14" s="126"/>
      <x:c r="B14" s="127"/>
      <x:c r="C14" s="127"/>
      <x:c r="D14" s="127"/>
      <x:c r="E14" s="127"/>
      <x:c r="F14" s="127"/>
      <x:c r="G14" s="127"/>
      <x:c r="H14" s="127"/>
      <x:c r="I14" s="127"/>
      <x:c r="J14" s="127"/>
      <x:c r="K14" s="127"/>
      <x:c r="L14" s="127"/>
      <x:c r="M14" s="127"/>
      <x:c r="N14" s="128"/>
    </x:row>
    <x:row r="15" ht="27" customHeight="1">
      <x:c r="A15" s="129"/>
      <x:c r="B15" s="130"/>
      <x:c r="C15" s="130"/>
      <x:c r="D15" s="130"/>
      <x:c r="E15" s="130"/>
      <x:c r="F15" s="130"/>
      <x:c r="G15" s="130"/>
      <x:c r="H15" s="130"/>
      <x:c r="I15" s="130"/>
      <x:c r="J15" s="130"/>
      <x:c r="K15" s="130"/>
      <x:c r="L15" s="130"/>
      <x:c r="M15" s="130"/>
      <x:c r="N15" s="131"/>
    </x:row>
    <x:row r="40">
      <x:c r="A40" s="137" t="str">
        <x:v>Approach</x:v>
      </x:c>
      <x:c r="B40" s="137" t="str">
        <x:v>Balanced score</x:v>
      </x:c>
      <x:c r="C40" s="137" t="str">
        <x:v>All-test mean</x:v>
      </x:c>
      <x:c r="D40" s="137"/>
      <x:c r="E40" s="137" t="str">
        <x:v>Approach</x:v>
      </x:c>
      <x:c r="F40" s="137" t="str">
        <x:v>LP</x:v>
      </x:c>
      <x:c r="G40" s="137" t="str">
        <x:v>NM</x:v>
      </x:c>
      <x:c r="H40" s="137" t="str">
        <x:v>PL</x:v>
      </x:c>
      <x:c r="I40" s="137"/>
      <x:c r="J40" s="137" t="str">
        <x:v>Approach</x:v>
      </x:c>
      <x:c r="K40" s="137" t="str">
        <x:v>Mean test rank</x:v>
      </x:c>
      <x:c r="L40" s="137" t="str">
        <x:v>Wins</x:v>
      </x:c>
    </x:row>
    <x:row r="41">
      <x:c r="A41" s="132" t="str">
        <x:v>Mid NM → Cov NM</x:v>
      </x:c>
      <x:c r="B41" s="133" t="n">
        <x:f>'Metrics'!G15</x:f>
        <x:v>0.8222777777777778</x:v>
      </x:c>
      <x:c r="C41" s="133" t="n">
        <x:f>'Metrics'!H15</x:f>
        <x:v>0.8410000000000001</x:v>
      </x:c>
      <x:c r="D41" s="132"/>
      <x:c r="E41" s="132" t="str">
        <x:v>Mid NM → Cov NM</x:v>
      </x:c>
      <x:c r="F41" s="133" t="n">
        <x:f>'Metrics'!D15</x:f>
        <x:v>0.824</x:v>
      </x:c>
      <x:c r="G41" s="133" t="n">
        <x:f>'Metrics'!E15</x:f>
        <x:v>0.8971666666666666</x:v>
      </x:c>
      <x:c r="H41" s="133" t="n">
        <x:f>'Metrics'!F15</x:f>
        <x:v>0.7456666666666667</x:v>
      </x:c>
      <x:c r="I41" s="132"/>
      <x:c r="J41" s="132" t="str">
        <x:f>'Metrics'!A2</x:f>
        <x:v>covid19_twitter+nm</x:v>
      </x:c>
      <x:c r="K41" s="134" t="n">
        <x:f>'Metrics'!J2</x:f>
        <x:v>4.25</x:v>
      </x:c>
      <x:c r="L41" s="135" t="n">
        <x:f>'Metrics'!K2</x:f>
        <x:v>1</x:v>
      </x:c>
    </x:row>
    <x:row r="42">
      <x:c r="A42" s="132" t="str">
        <x:v>3G merged + joint</x:v>
      </x:c>
      <x:c r="B42" s="133" t="n">
        <x:f>'Metrics'!G22</x:f>
        <x:v>0.8220555555555555</x:v>
      </x:c>
      <x:c r="C42" s="133" t="n">
        <x:f>'Metrics'!H22</x:f>
        <x:v>0.8420833333333334</x:v>
      </x:c>
      <x:c r="D42" s="132"/>
      <x:c r="E42" s="132" t="str">
        <x:v>3G merged + joint</x:v>
      </x:c>
      <x:c r="F42" s="133" t="n">
        <x:f>'Metrics'!D22</x:f>
        <x:v>0.7690000000000001</x:v>
      </x:c>
      <x:c r="G42" s="133" t="n">
        <x:f>'Metrics'!E22</x:f>
        <x:v>0.9021666666666667</x:v>
      </x:c>
      <x:c r="H42" s="133" t="n">
        <x:f>'Metrics'!F22</x:f>
        <x:v>0.7949999999999999</x:v>
      </x:c>
      <x:c r="I42" s="132"/>
      <x:c r="J42" s="132" t="str">
        <x:f>'Metrics'!A15</x:f>
        <x:v>midterm+nm&gt;covid19_twitter+nm</x:v>
      </x:c>
      <x:c r="K42" s="134" t="n">
        <x:f>'Metrics'!J15</x:f>
        <x:v>4.5</x:v>
      </x:c>
      <x:c r="L42" s="135" t="n">
        <x:f>'Metrics'!K15</x:f>
        <x:v>0</x:v>
      </x:c>
    </x:row>
    <x:row r="43">
      <x:c r="A43" s="132" t="str">
        <x:v>Cov NM</x:v>
      </x:c>
      <x:c r="B43" s="133" t="n">
        <x:f>'Metrics'!G2</x:f>
        <x:v>0.8121111111111111</x:v>
      </x:c>
      <x:c r="C43" s="133" t="n">
        <x:f>'Metrics'!H2</x:f>
        <x:v>0.8279166666666669</x:v>
      </x:c>
      <x:c r="D43" s="132"/>
      <x:c r="E43" s="132" t="str">
        <x:v>Cov NM</x:v>
      </x:c>
      <x:c r="F43" s="133" t="n">
        <x:f>'Metrics'!D2</x:f>
        <x:v>0.8663333333333334</x:v>
      </x:c>
      <x:c r="G43" s="133" t="n">
        <x:f>'Metrics'!E2</x:f>
        <x:v>0.8753333333333333</x:v>
      </x:c>
      <x:c r="H43" s="133" t="n">
        <x:f>'Metrics'!F2</x:f>
        <x:v>0.6946666666666667</x:v>
      </x:c>
      <x:c r="I43" s="132"/>
      <x:c r="J43" s="132" t="str">
        <x:f>'Metrics'!A22</x:f>
        <x:v>merged_ukr_covid_midterm_aug_10k</x:v>
      </x:c>
      <x:c r="K43" s="134" t="n">
        <x:f>'Metrics'!J22</x:f>
        <x:v>6</x:v>
      </x:c>
      <x:c r="L43" s="135" t="n">
        <x:f>'Metrics'!K22</x:f>
        <x:v>5</x:v>
      </x:c>
    </x:row>
    <x:row r="44">
      <x:c r="A44" s="132" t="str">
        <x:v>Ukr NM</x:v>
      </x:c>
      <x:c r="B44" s="133" t="n">
        <x:f>'Metrics'!G4</x:f>
        <x:v>0.7851666666666667</x:v>
      </x:c>
      <x:c r="C44" s="133" t="n">
        <x:f>'Metrics'!H4</x:f>
        <x:v>0.8039166666666665</x:v>
      </x:c>
      <x:c r="D44" s="132"/>
      <x:c r="E44" s="132" t="str">
        <x:v>Ukr NM</x:v>
      </x:c>
      <x:c r="F44" s="133" t="n">
        <x:f>'Metrics'!D4</x:f>
        <x:v>0.794</x:v>
      </x:c>
      <x:c r="G44" s="133" t="n">
        <x:f>'Metrics'!E4</x:f>
        <x:v>0.8601666666666667</x:v>
      </x:c>
      <x:c r="H44" s="133" t="n">
        <x:f>'Metrics'!F4</x:f>
        <x:v>0.7013333333333334</x:v>
      </x:c>
      <x:c r="I44" s="132"/>
      <x:c r="J44" s="132" t="str">
        <x:f>'Metrics'!A4</x:f>
        <x:v>ukr_rus_twitter+nm</x:v>
      </x:c>
      <x:c r="K44" s="134" t="n">
        <x:f>'Metrics'!J4</x:f>
        <x:v>6.5</x:v>
      </x:c>
      <x:c r="L44" s="135" t="n">
        <x:f>'Metrics'!K4</x:f>
        <x:v>1</x:v>
      </x:c>
    </x:row>
    <x:row r="45">
      <x:c r="A45" s="132" t="str">
        <x:v>Mid NM → Ukr NM</x:v>
      </x:c>
      <x:c r="B45" s="133" t="n">
        <x:f>'Metrics'!G16</x:f>
        <x:v>0.7795</x:v>
      </x:c>
      <x:c r="C45" s="133" t="n">
        <x:f>'Metrics'!H16</x:f>
        <x:v>0.7967499999999998</x:v>
      </x:c>
      <x:c r="D45" s="132"/>
      <x:c r="E45" s="132" t="str">
        <x:v>Mid NM → Ukr NM</x:v>
      </x:c>
      <x:c r="F45" s="133" t="n">
        <x:f>'Metrics'!D16</x:f>
        <x:v>0.8076666666666666</x:v>
      </x:c>
      <x:c r="G45" s="133" t="n">
        <x:f>'Metrics'!E16</x:f>
        <x:v>0.8484999999999999</x:v>
      </x:c>
      <x:c r="H45" s="133" t="n">
        <x:f>'Metrics'!F16</x:f>
        <x:v>0.6823333333333333</x:v>
      </x:c>
      <x:c r="I45" s="132"/>
      <x:c r="J45" s="132" t="str">
        <x:f>'Metrics'!A3</x:f>
        <x:v>midterm+nm</x:v>
      </x:c>
      <x:c r="K45" s="134" t="n">
        <x:f>'Metrics'!J3</x:f>
        <x:v>7.583333333333333</x:v>
      </x:c>
      <x:c r="L45" s="135" t="n">
        <x:f>'Metrics'!K3</x:f>
        <x:v>1</x:v>
      </x:c>
    </x:row>
    <x:row r="46">
      <x:c r="A46" s="132" t="str">
        <x:v>Mid NM</x:v>
      </x:c>
      <x:c r="B46" s="133" t="n">
        <x:f>'Metrics'!G3</x:f>
        <x:v>0.7538333333333332</x:v>
      </x:c>
      <x:c r="C46" s="133" t="n">
        <x:f>'Metrics'!H3</x:f>
        <x:v>0.78025</x:v>
      </x:c>
      <x:c r="D46" s="132"/>
      <x:c r="E46" s="132" t="str">
        <x:v>Mid NM</x:v>
      </x:c>
      <x:c r="F46" s="133" t="n">
        <x:f>'Metrics'!D3</x:f>
        <x:v>0.7676666666666666</x:v>
      </x:c>
      <x:c r="G46" s="133" t="n">
        <x:f>'Metrics'!E3</x:f>
        <x:v>0.8595</x:v>
      </x:c>
      <x:c r="H46" s="133" t="n">
        <x:f>'Metrics'!F3</x:f>
        <x:v>0.6343333333333333</x:v>
      </x:c>
      <x:c r="I46" s="132"/>
      <x:c r="J46" s="132" t="str">
        <x:f>'Metrics'!A16</x:f>
        <x:v>midterm+nm&gt;ukr_rus_twitter+nm</x:v>
      </x:c>
      <x:c r="K46" s="134" t="n">
        <x:f>'Metrics'!J16</x:f>
        <x:v>8.166666666666666</x:v>
      </x:c>
      <x:c r="L46" s="135" t="n">
        <x:f>'Metrics'!K16</x:f>
        <x:v>0</x:v>
      </x:c>
    </x:row>
    <x:row r="47">
      <x:c r="A47" s="132" t="str">
        <x:v>Cov LP</x:v>
      </x:c>
      <x:c r="B47" s="133" t="n">
        <x:f>'Metrics'!G8</x:f>
        <x:v>0.7520555555555556</x:v>
      </x:c>
      <x:c r="C47" s="133" t="n">
        <x:f>'Metrics'!H8</x:f>
        <x:v>0.7565833333333334</x:v>
      </x:c>
      <x:c r="D47" s="132"/>
      <x:c r="E47" s="132"/>
      <x:c r="F47" s="132"/>
      <x:c r="G47" s="132"/>
      <x:c r="H47" s="132"/>
      <x:c r="I47" s="132"/>
      <x:c r="J47" s="132" t="str">
        <x:f>'Metrics'!A13</x:f>
        <x:v>midterm+lp&gt;ukr_rus_twitter+lp</x:v>
      </x:c>
      <x:c r="K47" s="134" t="n">
        <x:f>'Metrics'!J13</x:f>
        <x:v>10</x:v>
      </x:c>
      <x:c r="L47" s="135" t="n">
        <x:f>'Metrics'!K13</x:f>
        <x:v>0</x:v>
      </x:c>
    </x:row>
    <x:row r="48">
      <x:c r="A48" s="132" t="str">
        <x:v>Ukr LP</x:v>
      </x:c>
      <x:c r="B48" s="133" t="n">
        <x:f>'Metrics'!G10</x:f>
        <x:v>0.7493333333333334</x:v>
      </x:c>
      <x:c r="C48" s="133" t="n">
        <x:f>'Metrics'!H10</x:f>
        <x:v>0.7578333333333332</x:v>
      </x:c>
      <x:c r="D48" s="132"/>
      <x:c r="E48" s="132"/>
      <x:c r="F48" s="132"/>
      <x:c r="G48" s="132"/>
      <x:c r="H48" s="132"/>
      <x:c r="I48" s="132"/>
      <x:c r="J48" s="132" t="str">
        <x:f>'Metrics'!A10</x:f>
        <x:v>ukr_rus_twitter+lp</x:v>
      </x:c>
      <x:c r="K48" s="134" t="n">
        <x:f>'Metrics'!J10</x:f>
        <x:v>10.083333333333334</x:v>
      </x:c>
      <x:c r="L48" s="135" t="n">
        <x:f>'Metrics'!K10</x:f>
        <x:v>1</x:v>
      </x:c>
    </x:row>
    <x:row r="49">
      <x:c r="A49" s="132" t="str">
        <x:v>Mid LP → Ukr LP</x:v>
      </x:c>
      <x:c r="B49" s="133" t="n">
        <x:f>'Metrics'!G13</x:f>
        <x:v>0.7465555555555555</x:v>
      </x:c>
      <x:c r="C49" s="133" t="n">
        <x:f>'Metrics'!H13</x:f>
        <x:v>0.7535833333333334</x:v>
      </x:c>
      <x:c r="D49" s="132"/>
      <x:c r="E49" s="132"/>
      <x:c r="F49" s="132"/>
      <x:c r="G49" s="132"/>
      <x:c r="H49" s="132"/>
      <x:c r="I49" s="132"/>
      <x:c r="J49" s="132"/>
      <x:c r="K49" s="132"/>
      <x:c r="L49" s="132"/>
    </x:row>
    <x:row r="50">
      <x:c r="A50" s="132" t="str">
        <x:v>2G merged NM</x:v>
      </x:c>
      <x:c r="B50" s="133" t="n">
        <x:f>'Metrics'!G20</x:f>
        <x:v>0.7453888888888889</x:v>
      </x:c>
      <x:c r="C50" s="133" t="n">
        <x:f>'Metrics'!H20</x:f>
        <x:v>0.7726666666666667</x:v>
      </x:c>
      <x:c r="D50" s="132"/>
      <x:c r="E50" s="132"/>
      <x:c r="F50" s="132"/>
      <x:c r="G50" s="132"/>
      <x:c r="H50" s="132"/>
      <x:c r="I50" s="132"/>
      <x:c r="J50" s="132"/>
      <x:c r="K50" s="132"/>
      <x:c r="L50" s="132"/>
    </x:row>
    <x:row r="51">
      <x:c r="A51" s="132"/>
      <x:c r="B51" s="133"/>
      <x:c r="C51" s="133"/>
      <x:c r="D51" s="132"/>
      <x:c r="E51" s="132"/>
      <x:c r="F51" s="132"/>
      <x:c r="G51" s="132"/>
      <x:c r="H51" s="132"/>
      <x:c r="I51" s="132"/>
      <x:c r="J51" s="132"/>
      <x:c r="K51" s="132"/>
      <x:c r="L51" s="132"/>
    </x:row>
    <x:row r="52">
      <x:c r="A52" s="132"/>
      <x:c r="B52" s="133"/>
      <x:c r="C52" s="133"/>
      <x:c r="D52" s="132"/>
      <x:c r="E52" s="132"/>
      <x:c r="F52" s="132"/>
      <x:c r="G52" s="132"/>
      <x:c r="H52" s="132"/>
      <x:c r="I52" s="132"/>
      <x:c r="J52" s="132"/>
      <x:c r="K52" s="132"/>
      <x:c r="L52" s="132"/>
    </x:row>
    <x:row r="53">
      <x:c r="A53" s="132"/>
      <x:c r="B53" s="133"/>
      <x:c r="C53" s="133"/>
      <x:c r="D53" s="132"/>
      <x:c r="E53" s="132"/>
      <x:c r="F53" s="132"/>
      <x:c r="G53" s="132"/>
      <x:c r="H53" s="132"/>
      <x:c r="I53" s="132"/>
      <x:c r="J53" s="132"/>
      <x:c r="K53" s="132"/>
      <x:c r="L53" s="132"/>
    </x:row>
    <x:row r="54">
      <x:c r="A54" s="132"/>
      <x:c r="B54" s="133"/>
      <x:c r="C54" s="133"/>
      <x:c r="D54" s="132"/>
      <x:c r="E54" s="132"/>
      <x:c r="F54" s="132"/>
      <x:c r="G54" s="132"/>
      <x:c r="H54" s="132"/>
      <x:c r="I54" s="132"/>
      <x:c r="J54" s="132"/>
      <x:c r="K54" s="132"/>
      <x:c r="L54" s="132"/>
    </x:row>
    <x:row r="55">
      <x:c r="A55" s="132"/>
      <x:c r="B55" s="133"/>
      <x:c r="C55" s="133"/>
      <x:c r="D55" s="132"/>
      <x:c r="E55" s="132"/>
      <x:c r="F55" s="132"/>
      <x:c r="G55" s="132"/>
      <x:c r="H55" s="132"/>
      <x:c r="I55" s="132"/>
      <x:c r="J55" s="132"/>
      <x:c r="K55" s="132"/>
      <x:c r="L55" s="132"/>
    </x:row>
    <x:row r="56">
      <x:c r="A56" s="132"/>
      <x:c r="B56" s="133"/>
      <x:c r="C56" s="133"/>
      <x:c r="D56" s="132"/>
      <x:c r="E56" s="132"/>
      <x:c r="F56" s="132"/>
      <x:c r="G56" s="132"/>
      <x:c r="H56" s="132"/>
      <x:c r="I56" s="132"/>
      <x:c r="J56" s="132"/>
      <x:c r="K56" s="132"/>
      <x:c r="L56" s="132"/>
    </x:row>
    <x:row r="57">
      <x:c r="A57" s="132"/>
      <x:c r="B57" s="133"/>
      <x:c r="C57" s="133"/>
      <x:c r="D57" s="132"/>
      <x:c r="E57" s="132"/>
      <x:c r="F57" s="132"/>
      <x:c r="G57" s="132"/>
      <x:c r="H57" s="132"/>
      <x:c r="I57" s="132"/>
      <x:c r="J57" s="132"/>
      <x:c r="K57" s="132"/>
      <x:c r="L57" s="132"/>
    </x:row>
    <x:row r="58">
      <x:c r="A58" s="132"/>
      <x:c r="B58" s="133"/>
      <x:c r="C58" s="133"/>
      <x:c r="D58" s="132"/>
      <x:c r="E58" s="132"/>
      <x:c r="F58" s="132"/>
      <x:c r="G58" s="132"/>
      <x:c r="H58" s="132"/>
      <x:c r="I58" s="132"/>
      <x:c r="J58" s="132"/>
      <x:c r="K58" s="132"/>
      <x:c r="L58" s="132"/>
    </x:row>
    <x:row r="59">
      <x:c r="A59" s="132"/>
      <x:c r="B59" s="133"/>
      <x:c r="C59" s="133"/>
      <x:c r="D59" s="132"/>
      <x:c r="E59" s="132"/>
      <x:c r="F59" s="132"/>
      <x:c r="G59" s="132"/>
      <x:c r="H59" s="132"/>
      <x:c r="I59" s="132"/>
      <x:c r="J59" s="132"/>
      <x:c r="K59" s="132"/>
      <x:c r="L59" s="132"/>
    </x:row>
    <x:row r="60">
      <x:c r="A60" s="132"/>
      <x:c r="B60" s="133"/>
      <x:c r="C60" s="133"/>
      <x:c r="D60" s="132"/>
      <x:c r="E60" s="132"/>
      <x:c r="F60" s="132"/>
      <x:c r="G60" s="132"/>
      <x:c r="H60" s="132"/>
      <x:c r="I60" s="132"/>
      <x:c r="J60" s="132"/>
      <x:c r="K60" s="132"/>
      <x:c r="L60" s="132"/>
    </x:row>
    <x:row r="61">
      <x:c r="A61" s="132"/>
      <x:c r="B61" s="133"/>
      <x:c r="C61" s="133"/>
      <x:c r="D61" s="132"/>
      <x:c r="E61" s="132"/>
      <x:c r="F61" s="132"/>
      <x:c r="G61" s="132"/>
      <x:c r="H61" s="132"/>
      <x:c r="I61" s="132"/>
      <x:c r="J61" s="132"/>
      <x:c r="K61" s="132"/>
      <x:c r="L61" s="132"/>
    </x:row>
  </x:sheetData>
  <x:mergeCells>
    <x:mergeCell ref="A1:N2"/>
    <x:mergeCell ref="A3:N3"/>
    <x:mergeCell ref="A5:C5"/>
    <x:mergeCell ref="A6:C6"/>
    <x:mergeCell ref="A7:C7"/>
    <x:mergeCell ref="A8:C8"/>
    <x:mergeCell ref="E5:G5"/>
    <x:mergeCell ref="E6:G6"/>
    <x:mergeCell ref="E7:G7"/>
    <x:mergeCell ref="E8:G8"/>
    <x:mergeCell ref="I5:K5"/>
    <x:mergeCell ref="I6:K6"/>
    <x:mergeCell ref="I7:K7"/>
    <x:mergeCell ref="I8:K8"/>
    <x:mergeCell ref="M5:N5"/>
    <x:mergeCell ref="M6:N6"/>
    <x:mergeCell ref="M7:N7"/>
    <x:mergeCell ref="M8:N8"/>
    <x:mergeCell ref="A10:N10"/>
    <x:mergeCell ref="A11:N15"/>
  </x:mergeCells>
  <x:pageMargins left="0.7" right="0.7" top="0.75" bottom="0.75" header="0.3" footer="0.3"/>
  <x:drawing xmlns:r="http://schemas.openxmlformats.org/officeDocument/2006/relationships" r:id="R8f25f840eb034dc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7" hidden="0" customWidth="1"/>
    <x:col min="3" max="3" width="3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48" customHeight="1">
      <x:c r="A1" s="16" t="str">
        <x:v>train_id</x:v>
      </x:c>
      <x:c r="B1" s="16" t="str">
        <x:v>Experiment</x:v>
      </x:c>
      <x:c r="C1" s="16" t="str">
        <x:v>Pretrain Strategy</x:v>
      </x:c>
      <x:c r="D1" s="16" t="str">
        <x:v>LP mean</x:v>
      </x:c>
      <x:c r="E1" s="16" t="str">
        <x:v>NM mean</x:v>
      </x:c>
      <x:c r="F1" s="16" t="str">
        <x:v>PL mean</x:v>
      </x:c>
      <x:c r="G1" s="16" t="str">
        <x:v>Balanced score</x:v>
      </x:c>
      <x:c r="H1" s="16" t="str">
        <x:v>All-test mean</x:v>
      </x:c>
      <x:c r="I1" s="16" t="str">
        <x:v>Worst test</x:v>
      </x:c>
      <x:c r="J1" s="16" t="str">
        <x:v>Mean test rank</x:v>
      </x:c>
      <x:c r="K1" s="16" t="str">
        <x:v>Test wins</x:v>
      </x:c>
      <x:c r="L1" s="16" t="str">
        <x:v>Mean regret vs best</x:v>
      </x:c>
    </x:row>
    <x:row r="2">
      <x:c r="A2" s="10" t="str">
        <x:f>'Raw Data'!A2</x:f>
        <x:v>covid19_twitter+nm</x:v>
      </x:c>
      <x:c r="B2" s="10" t="str">
        <x:f>'Raw Data'!N2</x:f>
        <x:v>NM</x:v>
      </x:c>
      <x:c r="C2" s="10" t="str">
        <x:f>'Raw Data'!O2</x:f>
        <x:v>1 graph, 1 task</x:v>
      </x:c>
      <x:c r="D2" s="9" t="n">
        <x:f>AVERAGE('Raw Data'!B2,'Raw Data'!H2,'Raw Data'!L2)</x:f>
        <x:v>0.8663333333333334</x:v>
      </x:c>
      <x:c r="E2" s="9" t="n">
        <x:f>AVERAGE('Raw Data'!C2,'Raw Data'!D2,'Raw Data'!F2,'Raw Data'!I2,'Raw Data'!J2,'Raw Data'!M2)</x:f>
        <x:v>0.8753333333333333</x:v>
      </x:c>
      <x:c r="F2" s="9" t="n">
        <x:f>AVERAGE('Raw Data'!E2,'Raw Data'!G2,'Raw Data'!K2)</x:f>
        <x:v>0.6946666666666667</x:v>
      </x:c>
      <x:c r="G2" s="9" t="n">
        <x:f>AVERAGE(D2:F2)</x:f>
        <x:v>0.8121111111111111</x:v>
      </x:c>
      <x:c r="H2" s="9" t="n">
        <x:f>AVERAGE('Raw Data'!B2:M2)</x:f>
        <x:v>0.8279166666666669</x:v>
      </x:c>
      <x:c r="I2" s="9" t="n">
        <x:f>MIN('Raw Data'!B2:M2)</x:f>
        <x:v>0.51</x:v>
      </x:c>
      <x:c r="J2" s="17" t="n">
        <x:f>AVERAGE(RANK.EQ('Raw Data'!B2,'Raw Data'!B$2:B$22,0),RANK.EQ('Raw Data'!C2,'Raw Data'!C$2:C$22,0),RANK.EQ('Raw Data'!D2,'Raw Data'!D$2:D$22,0),RANK.EQ('Raw Data'!E2,'Raw Data'!E$2:E$22,0),RANK.EQ('Raw Data'!F2,'Raw Data'!F$2:F$22,0),RANK.EQ('Raw Data'!G2,'Raw Data'!G$2:G$22,0),RANK.EQ('Raw Data'!H2,'Raw Data'!H$2:H$22,0),RANK.EQ('Raw Data'!I2,'Raw Data'!I$2:I$22,0),RANK.EQ('Raw Data'!J2,'Raw Data'!J$2:J$22,0),RANK.EQ('Raw Data'!K2,'Raw Data'!K$2:K$22,0),RANK.EQ('Raw Data'!L2,'Raw Data'!L$2:L$22,0),RANK.EQ('Raw Data'!M2,'Raw Data'!M$2:M$22,0))</x:f>
        <x:v>4.25</x:v>
      </x:c>
      <x:c r="K2" s="18" t="n">
        <x:f>SUM(--('Raw Data'!B2=MAX('Raw Data'!B$2:B$22)),--('Raw Data'!C2=MAX('Raw Data'!C$2:C$22)),--('Raw Data'!D2=MAX('Raw Data'!D$2:D$22)),--('Raw Data'!E2=MAX('Raw Data'!E$2:E$22)),--('Raw Data'!F2=MAX('Raw Data'!F$2:F$22)),--('Raw Data'!G2=MAX('Raw Data'!G$2:G$22)),--('Raw Data'!H2=MAX('Raw Data'!H$2:H$22)),--('Raw Data'!I2=MAX('Raw Data'!I$2:I$22)),--('Raw Data'!J2=MAX('Raw Data'!J$2:J$22)),--('Raw Data'!K2=MAX('Raw Data'!K$2:K$22)),--('Raw Data'!L2=MAX('Raw Data'!L$2:L$22)),--('Raw Data'!M2=MAX('Raw Data'!M$2:M$22)))</x:f>
        <x:v>1</x:v>
      </x:c>
      <x:c r="L2" s="9" t="n">
        <x:f>AVERAGE((MAX('Raw Data'!B$2:B$22)-'Raw Data'!B2),(MAX('Raw Data'!C$2:C$22)-'Raw Data'!C2),(MAX('Raw Data'!D$2:D$22)-'Raw Data'!D2),(MAX('Raw Data'!E$2:E$22)-'Raw Data'!E2),(MAX('Raw Data'!F$2:F$22)-'Raw Data'!F2),(MAX('Raw Data'!G$2:G$22)-'Raw Data'!G2),(MAX('Raw Data'!H$2:H$22)-'Raw Data'!H2),(MAX('Raw Data'!I$2:I$22)-'Raw Data'!I2),(MAX('Raw Data'!J$2:J$22)-'Raw Data'!J2),(MAX('Raw Data'!K$2:K$22)-'Raw Data'!K2),(MAX('Raw Data'!L$2:L$22)-'Raw Data'!L2),(MAX('Raw Data'!M$2:M$22)-'Raw Data'!M2))</x:f>
        <x:v>0.06724999999999999</x:v>
      </x:c>
    </x:row>
    <x:row r="3">
      <x:c r="A3" s="10" t="str">
        <x:f>'Raw Data'!A3</x:f>
        <x:v>midterm+nm</x:v>
      </x:c>
      <x:c r="B3" s="10" t="str">
        <x:f>'Raw Data'!N3</x:f>
        <x:v>NM</x:v>
      </x:c>
      <x:c r="C3" s="10" t="str">
        <x:f>'Raw Data'!O3</x:f>
        <x:v>1 graph, 1 task</x:v>
      </x:c>
      <x:c r="D3" s="9" t="n">
        <x:f>AVERAGE('Raw Data'!B3,'Raw Data'!H3,'Raw Data'!L3)</x:f>
        <x:v>0.7676666666666666</x:v>
      </x:c>
      <x:c r="E3" s="9" t="n">
        <x:f>AVERAGE('Raw Data'!C3,'Raw Data'!D3,'Raw Data'!F3,'Raw Data'!I3,'Raw Data'!J3,'Raw Data'!M3)</x:f>
        <x:v>0.8595</x:v>
      </x:c>
      <x:c r="F3" s="9" t="n">
        <x:f>AVERAGE('Raw Data'!E3,'Raw Data'!G3,'Raw Data'!K3)</x:f>
        <x:v>0.6343333333333333</x:v>
      </x:c>
      <x:c r="G3" s="9" t="n">
        <x:f>AVERAGE(D3:F3)</x:f>
        <x:v>0.7538333333333332</x:v>
      </x:c>
      <x:c r="H3" s="9" t="n">
        <x:f>AVERAGE('Raw Data'!B3:M3)</x:f>
        <x:v>0.78025</x:v>
      </x:c>
      <x:c r="I3" s="9" t="n">
        <x:f>MIN('Raw Data'!B3:M3)</x:f>
        <x:v>0.505</x:v>
      </x:c>
      <x:c r="J3" s="17" t="n">
        <x:f>AVERAGE(RANK.EQ('Raw Data'!B3,'Raw Data'!B$2:B$22,0),RANK.EQ('Raw Data'!C3,'Raw Data'!C$2:C$22,0),RANK.EQ('Raw Data'!D3,'Raw Data'!D$2:D$22,0),RANK.EQ('Raw Data'!E3,'Raw Data'!E$2:E$22,0),RANK.EQ('Raw Data'!F3,'Raw Data'!F$2:F$22,0),RANK.EQ('Raw Data'!G3,'Raw Data'!G$2:G$22,0),RANK.EQ('Raw Data'!H3,'Raw Data'!H$2:H$22,0),RANK.EQ('Raw Data'!I3,'Raw Data'!I$2:I$22,0),RANK.EQ('Raw Data'!J3,'Raw Data'!J$2:J$22,0),RANK.EQ('Raw Data'!K3,'Raw Data'!K$2:K$22,0),RANK.EQ('Raw Data'!L3,'Raw Data'!L$2:L$22,0),RANK.EQ('Raw Data'!M3,'Raw Data'!M$2:M$22,0))</x:f>
        <x:v>7.583333333333333</x:v>
      </x:c>
      <x:c r="K3" s="18" t="n">
        <x:f>SUM(--('Raw Data'!B3=MAX('Raw Data'!B$2:B$22)),--('Raw Data'!C3=MAX('Raw Data'!C$2:C$22)),--('Raw Data'!D3=MAX('Raw Data'!D$2:D$22)),--('Raw Data'!E3=MAX('Raw Data'!E$2:E$22)),--('Raw Data'!F3=MAX('Raw Data'!F$2:F$22)),--('Raw Data'!G3=MAX('Raw Data'!G$2:G$22)),--('Raw Data'!H3=MAX('Raw Data'!H$2:H$22)),--('Raw Data'!I3=MAX('Raw Data'!I$2:I$22)),--('Raw Data'!J3=MAX('Raw Data'!J$2:J$22)),--('Raw Data'!K3=MAX('Raw Data'!K$2:K$22)),--('Raw Data'!L3=MAX('Raw Data'!L$2:L$22)),--('Raw Data'!M3=MAX('Raw Data'!M$2:M$22)))</x:f>
        <x:v>1</x:v>
      </x:c>
      <x:c r="L3" s="9" t="n">
        <x:f>AVERAGE((MAX('Raw Data'!B$2:B$22)-'Raw Data'!B3),(MAX('Raw Data'!C$2:C$22)-'Raw Data'!C3),(MAX('Raw Data'!D$2:D$22)-'Raw Data'!D3),(MAX('Raw Data'!E$2:E$22)-'Raw Data'!E3),(MAX('Raw Data'!F$2:F$22)-'Raw Data'!F3),(MAX('Raw Data'!G$2:G$22)-'Raw Data'!G3),(MAX('Raw Data'!H$2:H$22)-'Raw Data'!H3),(MAX('Raw Data'!I$2:I$22)-'Raw Data'!I3),(MAX('Raw Data'!J$2:J$22)-'Raw Data'!J3),(MAX('Raw Data'!K$2:K$22)-'Raw Data'!K3),(MAX('Raw Data'!L$2:L$22)-'Raw Data'!L3),(MAX('Raw Data'!M$2:M$22)-'Raw Data'!M3))</x:f>
        <x:v>0.11491666666666667</x:v>
      </x:c>
    </x:row>
    <x:row r="4">
      <x:c r="A4" s="10" t="str">
        <x:f>'Raw Data'!A4</x:f>
        <x:v>ukr_rus_twitter+nm</x:v>
      </x:c>
      <x:c r="B4" s="10" t="str">
        <x:f>'Raw Data'!N4</x:f>
        <x:v>NM</x:v>
      </x:c>
      <x:c r="C4" s="10" t="str">
        <x:f>'Raw Data'!O4</x:f>
        <x:v>1 graph, 1 task</x:v>
      </x:c>
      <x:c r="D4" s="9" t="n">
        <x:f>AVERAGE('Raw Data'!B4,'Raw Data'!H4,'Raw Data'!L4)</x:f>
        <x:v>0.794</x:v>
      </x:c>
      <x:c r="E4" s="9" t="n">
        <x:f>AVERAGE('Raw Data'!C4,'Raw Data'!D4,'Raw Data'!F4,'Raw Data'!I4,'Raw Data'!J4,'Raw Data'!M4)</x:f>
        <x:v>0.8601666666666667</x:v>
      </x:c>
      <x:c r="F4" s="9" t="n">
        <x:f>AVERAGE('Raw Data'!E4,'Raw Data'!G4,'Raw Data'!K4)</x:f>
        <x:v>0.7013333333333334</x:v>
      </x:c>
      <x:c r="G4" s="9" t="n">
        <x:f>AVERAGE(D4:F4)</x:f>
        <x:v>0.7851666666666667</x:v>
      </x:c>
      <x:c r="H4" s="9" t="n">
        <x:f>AVERAGE('Raw Data'!B4:M4)</x:f>
        <x:v>0.8039166666666665</x:v>
      </x:c>
      <x:c r="I4" s="9" t="n">
        <x:f>MIN('Raw Data'!B4:M4)</x:f>
        <x:v>0.507</x:v>
      </x:c>
      <x:c r="J4" s="17" t="n">
        <x:f>AVERAGE(RANK.EQ('Raw Data'!B4,'Raw Data'!B$2:B$22,0),RANK.EQ('Raw Data'!C4,'Raw Data'!C$2:C$22,0),RANK.EQ('Raw Data'!D4,'Raw Data'!D$2:D$22,0),RANK.EQ('Raw Data'!E4,'Raw Data'!E$2:E$22,0),RANK.EQ('Raw Data'!F4,'Raw Data'!F$2:F$22,0),RANK.EQ('Raw Data'!G4,'Raw Data'!G$2:G$22,0),RANK.EQ('Raw Data'!H4,'Raw Data'!H$2:H$22,0),RANK.EQ('Raw Data'!I4,'Raw Data'!I$2:I$22,0),RANK.EQ('Raw Data'!J4,'Raw Data'!J$2:J$22,0),RANK.EQ('Raw Data'!K4,'Raw Data'!K$2:K$22,0),RANK.EQ('Raw Data'!L4,'Raw Data'!L$2:L$22,0),RANK.EQ('Raw Data'!M4,'Raw Data'!M$2:M$22,0))</x:f>
        <x:v>6.5</x:v>
      </x:c>
      <x:c r="K4" s="18" t="n">
        <x:f>SUM(--('Raw Data'!B4=MAX('Raw Data'!B$2:B$22)),--('Raw Data'!C4=MAX('Raw Data'!C$2:C$22)),--('Raw Data'!D4=MAX('Raw Data'!D$2:D$22)),--('Raw Data'!E4=MAX('Raw Data'!E$2:E$22)),--('Raw Data'!F4=MAX('Raw Data'!F$2:F$22)),--('Raw Data'!G4=MAX('Raw Data'!G$2:G$22)),--('Raw Data'!H4=MAX('Raw Data'!H$2:H$22)),--('Raw Data'!I4=MAX('Raw Data'!I$2:I$22)),--('Raw Data'!J4=MAX('Raw Data'!J$2:J$22)),--('Raw Data'!K4=MAX('Raw Data'!K$2:K$22)),--('Raw Data'!L4=MAX('Raw Data'!L$2:L$22)),--('Raw Data'!M4=MAX('Raw Data'!M$2:M$22)))</x:f>
        <x:v>1</x:v>
      </x:c>
      <x:c r="L4" s="9" t="n">
        <x:f>AVERAGE((MAX('Raw Data'!B$2:B$22)-'Raw Data'!B4),(MAX('Raw Data'!C$2:C$22)-'Raw Data'!C4),(MAX('Raw Data'!D$2:D$22)-'Raw Data'!D4),(MAX('Raw Data'!E$2:E$22)-'Raw Data'!E4),(MAX('Raw Data'!F$2:F$22)-'Raw Data'!F4),(MAX('Raw Data'!G$2:G$22)-'Raw Data'!G4),(MAX('Raw Data'!H$2:H$22)-'Raw Data'!H4),(MAX('Raw Data'!I$2:I$22)-'Raw Data'!I4),(MAX('Raw Data'!J$2:J$22)-'Raw Data'!J4),(MAX('Raw Data'!K$2:K$22)-'Raw Data'!K4),(MAX('Raw Data'!L$2:L$22)-'Raw Data'!L4),(MAX('Raw Data'!M$2:M$22)-'Raw Data'!M4))</x:f>
        <x:v>0.09125000000000001</x:v>
      </x:c>
    </x:row>
    <x:row r="5">
      <x:c r="A5" s="10" t="str">
        <x:f>'Raw Data'!A5</x:f>
        <x:v>covid19_twitter+pl</x:v>
      </x:c>
      <x:c r="B5" s="10" t="str">
        <x:f>'Raw Data'!N5</x:f>
        <x:v>PL</x:v>
      </x:c>
      <x:c r="C5" s="10" t="str">
        <x:f>'Raw Data'!O5</x:f>
        <x:v>1 graph, 1 task</x:v>
      </x:c>
      <x:c r="D5" s="9" t="n">
        <x:f>AVERAGE('Raw Data'!B5,'Raw Data'!H5,'Raw Data'!L5)</x:f>
        <x:v>0.5233333333333334</x:v>
      </x:c>
      <x:c r="E5" s="9" t="n">
        <x:f>AVERAGE('Raw Data'!C5,'Raw Data'!D5,'Raw Data'!F5,'Raw Data'!I5,'Raw Data'!J5,'Raw Data'!M5)</x:f>
        <x:v>0.5178333333333334</x:v>
      </x:c>
      <x:c r="F5" s="9" t="n">
        <x:f>AVERAGE('Raw Data'!E5,'Raw Data'!G5,'Raw Data'!K5)</x:f>
        <x:v>0.592</x:v>
      </x:c>
      <x:c r="G5" s="9" t="n">
        <x:f>AVERAGE(D5:F5)</x:f>
        <x:v>0.5443888888888889</x:v>
      </x:c>
      <x:c r="H5" s="9" t="n">
        <x:f>AVERAGE('Raw Data'!B5:M5)</x:f>
        <x:v>0.5377500000000001</x:v>
      </x:c>
      <x:c r="I5" s="9" t="n">
        <x:f>MIN('Raw Data'!B5:M5)</x:f>
        <x:v>0.502</x:v>
      </x:c>
      <x:c r="J5" s="17" t="n">
        <x:f>AVERAGE(RANK.EQ('Raw Data'!B5,'Raw Data'!B$2:B$22,0),RANK.EQ('Raw Data'!C5,'Raw Data'!C$2:C$22,0),RANK.EQ('Raw Data'!D5,'Raw Data'!D$2:D$22,0),RANK.EQ('Raw Data'!E5,'Raw Data'!E$2:E$22,0),RANK.EQ('Raw Data'!F5,'Raw Data'!F$2:F$22,0),RANK.EQ('Raw Data'!G5,'Raw Data'!G$2:G$22,0),RANK.EQ('Raw Data'!H5,'Raw Data'!H$2:H$22,0),RANK.EQ('Raw Data'!I5,'Raw Data'!I$2:I$22,0),RANK.EQ('Raw Data'!J5,'Raw Data'!J$2:J$22,0),RANK.EQ('Raw Data'!K5,'Raw Data'!K$2:K$22,0),RANK.EQ('Raw Data'!L5,'Raw Data'!L$2:L$22,0),RANK.EQ('Raw Data'!M5,'Raw Data'!M$2:M$22,0))</x:f>
        <x:v>18</x:v>
      </x:c>
      <x:c r="K5" s="18" t="n">
        <x:f>SUM(--('Raw Data'!B5=MAX('Raw Data'!B$2:B$22)),--('Raw Data'!C5=MAX('Raw Data'!C$2:C$22)),--('Raw Data'!D5=MAX('Raw Data'!D$2:D$22)),--('Raw Data'!E5=MAX('Raw Data'!E$2:E$22)),--('Raw Data'!F5=MAX('Raw Data'!F$2:F$22)),--('Raw Data'!G5=MAX('Raw Data'!G$2:G$22)),--('Raw Data'!H5=MAX('Raw Data'!H$2:H$22)),--('Raw Data'!I5=MAX('Raw Data'!I$2:I$22)),--('Raw Data'!J5=MAX('Raw Data'!J$2:J$22)),--('Raw Data'!K5=MAX('Raw Data'!K$2:K$22)),--('Raw Data'!L5=MAX('Raw Data'!L$2:L$22)),--('Raw Data'!M5=MAX('Raw Data'!M$2:M$22)))</x:f>
        <x:v>0</x:v>
      </x:c>
      <x:c r="L5" s="9" t="n">
        <x:f>AVERAGE((MAX('Raw Data'!B$2:B$22)-'Raw Data'!B5),(MAX('Raw Data'!C$2:C$22)-'Raw Data'!C5),(MAX('Raw Data'!D$2:D$22)-'Raw Data'!D5),(MAX('Raw Data'!E$2:E$22)-'Raw Data'!E5),(MAX('Raw Data'!F$2:F$22)-'Raw Data'!F5),(MAX('Raw Data'!G$2:G$22)-'Raw Data'!G5),(MAX('Raw Data'!H$2:H$22)-'Raw Data'!H5),(MAX('Raw Data'!I$2:I$22)-'Raw Data'!I5),(MAX('Raw Data'!J$2:J$22)-'Raw Data'!J5),(MAX('Raw Data'!K$2:K$22)-'Raw Data'!K5),(MAX('Raw Data'!L$2:L$22)-'Raw Data'!L5),(MAX('Raw Data'!M$2:M$22)-'Raw Data'!M5))</x:f>
        <x:v>0.3574166666666667</x:v>
      </x:c>
    </x:row>
    <x:row r="6">
      <x:c r="A6" s="10" t="str">
        <x:f>'Raw Data'!A6</x:f>
        <x:v>ukr_rus_twitter+pl</x:v>
      </x:c>
      <x:c r="B6" s="10" t="str">
        <x:f>'Raw Data'!N6</x:f>
        <x:v>PL</x:v>
      </x:c>
      <x:c r="C6" s="10" t="str">
        <x:f>'Raw Data'!O6</x:f>
        <x:v>1 graph, 1 task</x:v>
      </x:c>
      <x:c r="D6" s="9" t="n">
        <x:f>AVERAGE('Raw Data'!B6,'Raw Data'!H6,'Raw Data'!L6)</x:f>
        <x:v>0.5166666666666667</x:v>
      </x:c>
      <x:c r="E6" s="9" t="n">
        <x:f>AVERAGE('Raw Data'!C6,'Raw Data'!D6,'Raw Data'!F6,'Raw Data'!I6,'Raw Data'!J6,'Raw Data'!M6)</x:f>
        <x:v>0.6126666666666667</x:v>
      </x:c>
      <x:c r="F6" s="9" t="n">
        <x:f>AVERAGE('Raw Data'!E6,'Raw Data'!G6,'Raw Data'!K6)</x:f>
        <x:v>0.558</x:v>
      </x:c>
      <x:c r="G6" s="9" t="n">
        <x:f>AVERAGE(D6:F6)</x:f>
        <x:v>0.5624444444444444</x:v>
      </x:c>
      <x:c r="H6" s="9" t="n">
        <x:f>AVERAGE('Raw Data'!B6:M6)</x:f>
        <x:v>0.5750000000000001</x:v>
      </x:c>
      <x:c r="I6" s="9" t="n">
        <x:f>MIN('Raw Data'!B6:M6)</x:f>
        <x:v>0.486</x:v>
      </x:c>
      <x:c r="J6" s="17" t="n">
        <x:f>AVERAGE(RANK.EQ('Raw Data'!B6,'Raw Data'!B$2:B$22,0),RANK.EQ('Raw Data'!C6,'Raw Data'!C$2:C$22,0),RANK.EQ('Raw Data'!D6,'Raw Data'!D$2:D$22,0),RANK.EQ('Raw Data'!E6,'Raw Data'!E$2:E$22,0),RANK.EQ('Raw Data'!F6,'Raw Data'!F$2:F$22,0),RANK.EQ('Raw Data'!G6,'Raw Data'!G$2:G$22,0),RANK.EQ('Raw Data'!H6,'Raw Data'!H$2:H$22,0),RANK.EQ('Raw Data'!I6,'Raw Data'!I$2:I$22,0),RANK.EQ('Raw Data'!J6,'Raw Data'!J$2:J$22,0),RANK.EQ('Raw Data'!K6,'Raw Data'!K$2:K$22,0),RANK.EQ('Raw Data'!L6,'Raw Data'!L$2:L$22,0),RANK.EQ('Raw Data'!M6,'Raw Data'!M$2:M$22,0))</x:f>
        <x:v>18.583333333333332</x:v>
      </x:c>
      <x:c r="K6" s="18" t="n">
        <x:f>SUM(--('Raw Data'!B6=MAX('Raw Data'!B$2:B$22)),--('Raw Data'!C6=MAX('Raw Data'!C$2:C$22)),--('Raw Data'!D6=MAX('Raw Data'!D$2:D$22)),--('Raw Data'!E6=MAX('Raw Data'!E$2:E$22)),--('Raw Data'!F6=MAX('Raw Data'!F$2:F$22)),--('Raw Data'!G6=MAX('Raw Data'!G$2:G$22)),--('Raw Data'!H6=MAX('Raw Data'!H$2:H$22)),--('Raw Data'!I6=MAX('Raw Data'!I$2:I$22)),--('Raw Data'!J6=MAX('Raw Data'!J$2:J$22)),--('Raw Data'!K6=MAX('Raw Data'!K$2:K$22)),--('Raw Data'!L6=MAX('Raw Data'!L$2:L$22)),--('Raw Data'!M6=MAX('Raw Data'!M$2:M$22)))</x:f>
        <x:v>0</x:v>
      </x:c>
      <x:c r="L6" s="9" t="n">
        <x:f>AVERAGE((MAX('Raw Data'!B$2:B$22)-'Raw Data'!B6),(MAX('Raw Data'!C$2:C$22)-'Raw Data'!C6),(MAX('Raw Data'!D$2:D$22)-'Raw Data'!D6),(MAX('Raw Data'!E$2:E$22)-'Raw Data'!E6),(MAX('Raw Data'!F$2:F$22)-'Raw Data'!F6),(MAX('Raw Data'!G$2:G$22)-'Raw Data'!G6),(MAX('Raw Data'!H$2:H$22)-'Raw Data'!H6),(MAX('Raw Data'!I$2:I$22)-'Raw Data'!I6),(MAX('Raw Data'!J$2:J$22)-'Raw Data'!J6),(MAX('Raw Data'!K$2:K$22)-'Raw Data'!K6),(MAX('Raw Data'!L$2:L$22)-'Raw Data'!L6),(MAX('Raw Data'!M$2:M$22)-'Raw Data'!M6))</x:f>
        <x:v>0.32016666666666665</x:v>
      </x:c>
    </x:row>
    <x:row r="7">
      <x:c r="A7" s="10" t="str">
        <x:f>'Raw Data'!A7</x:f>
        <x:v>midterm+pl</x:v>
      </x:c>
      <x:c r="B7" s="10" t="str">
        <x:f>'Raw Data'!N7</x:f>
        <x:v>PL</x:v>
      </x:c>
      <x:c r="C7" s="10" t="str">
        <x:f>'Raw Data'!O7</x:f>
        <x:v>1 graph, 1 task</x:v>
      </x:c>
      <x:c r="D7" s="9" t="n">
        <x:f>AVERAGE('Raw Data'!B7,'Raw Data'!H7,'Raw Data'!L7)</x:f>
        <x:v>0.573</x:v>
      </x:c>
      <x:c r="E7" s="9" t="n">
        <x:f>AVERAGE('Raw Data'!C7,'Raw Data'!D7,'Raw Data'!F7,'Raw Data'!I7,'Raw Data'!J7,'Raw Data'!M7)</x:f>
        <x:v>0.6498333333333334</x:v>
      </x:c>
      <x:c r="F7" s="9" t="n">
        <x:f>AVERAGE('Raw Data'!E7,'Raw Data'!G7,'Raw Data'!K7)</x:f>
        <x:v>0.628</x:v>
      </x:c>
      <x:c r="G7" s="9" t="n">
        <x:f>AVERAGE(D7:F7)</x:f>
        <x:v>0.6169444444444445</x:v>
      </x:c>
      <x:c r="H7" s="9" t="n">
        <x:f>AVERAGE('Raw Data'!B7:M7)</x:f>
        <x:v>0.6251666666666665</x:v>
      </x:c>
      <x:c r="I7" s="9" t="n">
        <x:f>MIN('Raw Data'!B7:M7)</x:f>
        <x:v>0.502</x:v>
      </x:c>
      <x:c r="J7" s="17" t="n">
        <x:f>AVERAGE(RANK.EQ('Raw Data'!B7,'Raw Data'!B$2:B$22,0),RANK.EQ('Raw Data'!C7,'Raw Data'!C$2:C$22,0),RANK.EQ('Raw Data'!D7,'Raw Data'!D$2:D$22,0),RANK.EQ('Raw Data'!E7,'Raw Data'!E$2:E$22,0),RANK.EQ('Raw Data'!F7,'Raw Data'!F$2:F$22,0),RANK.EQ('Raw Data'!G7,'Raw Data'!G$2:G$22,0),RANK.EQ('Raw Data'!H7,'Raw Data'!H$2:H$22,0),RANK.EQ('Raw Data'!I7,'Raw Data'!I$2:I$22,0),RANK.EQ('Raw Data'!J7,'Raw Data'!J$2:J$22,0),RANK.EQ('Raw Data'!K7,'Raw Data'!K$2:K$22,0),RANK.EQ('Raw Data'!L7,'Raw Data'!L$2:L$22,0),RANK.EQ('Raw Data'!M7,'Raw Data'!M$2:M$22,0))</x:f>
        <x:v>16.583333333333332</x:v>
      </x:c>
      <x:c r="K7" s="18" t="n">
        <x:f>SUM(--('Raw Data'!B7=MAX('Raw Data'!B$2:B$22)),--('Raw Data'!C7=MAX('Raw Data'!C$2:C$22)),--('Raw Data'!D7=MAX('Raw Data'!D$2:D$22)),--('Raw Data'!E7=MAX('Raw Data'!E$2:E$22)),--('Raw Data'!F7=MAX('Raw Data'!F$2:F$22)),--('Raw Data'!G7=MAX('Raw Data'!G$2:G$22)),--('Raw Data'!H7=MAX('Raw Data'!H$2:H$22)),--('Raw Data'!I7=MAX('Raw Data'!I$2:I$22)),--('Raw Data'!J7=MAX('Raw Data'!J$2:J$22)),--('Raw Data'!K7=MAX('Raw Data'!K$2:K$22)),--('Raw Data'!L7=MAX('Raw Data'!L$2:L$22)),--('Raw Data'!M7=MAX('Raw Data'!M$2:M$22)))</x:f>
        <x:v>0</x:v>
      </x:c>
      <x:c r="L7" s="9" t="n">
        <x:f>AVERAGE((MAX('Raw Data'!B$2:B$22)-'Raw Data'!B7),(MAX('Raw Data'!C$2:C$22)-'Raw Data'!C7),(MAX('Raw Data'!D$2:D$22)-'Raw Data'!D7),(MAX('Raw Data'!E$2:E$22)-'Raw Data'!E7),(MAX('Raw Data'!F$2:F$22)-'Raw Data'!F7),(MAX('Raw Data'!G$2:G$22)-'Raw Data'!G7),(MAX('Raw Data'!H$2:H$22)-'Raw Data'!H7),(MAX('Raw Data'!I$2:I$22)-'Raw Data'!I7),(MAX('Raw Data'!J$2:J$22)-'Raw Data'!J7),(MAX('Raw Data'!K$2:K$22)-'Raw Data'!K7),(MAX('Raw Data'!L$2:L$22)-'Raw Data'!L7),(MAX('Raw Data'!M$2:M$22)-'Raw Data'!M7))</x:f>
        <x:v>0.27</x:v>
      </x:c>
    </x:row>
    <x:row r="8">
      <x:c r="A8" s="10" t="str">
        <x:f>'Raw Data'!A8</x:f>
        <x:v>covid19_twitter+lp</x:v>
      </x:c>
      <x:c r="B8" s="10" t="str">
        <x:f>'Raw Data'!N8</x:f>
        <x:v>LP</x:v>
      </x:c>
      <x:c r="C8" s="10" t="str">
        <x:f>'Raw Data'!O8</x:f>
        <x:v>1 graph, 1 task</x:v>
      </x:c>
      <x:c r="D8" s="9" t="n">
        <x:f>AVERAGE('Raw Data'!B8,'Raw Data'!H8,'Raw Data'!L8)</x:f>
        <x:v>0.8646666666666666</x:v>
      </x:c>
      <x:c r="E8" s="9" t="n">
        <x:f>AVERAGE('Raw Data'!C8,'Raw Data'!D8,'Raw Data'!F8,'Raw Data'!I8,'Raw Data'!J8,'Raw Data'!M8)</x:f>
        <x:v>0.7701666666666668</x:v>
      </x:c>
      <x:c r="F8" s="9" t="n">
        <x:f>AVERAGE('Raw Data'!E8,'Raw Data'!G8,'Raw Data'!K8)</x:f>
        <x:v>0.6213333333333333</x:v>
      </x:c>
      <x:c r="G8" s="9" t="n">
        <x:f>AVERAGE(D8:F8)</x:f>
        <x:v>0.7520555555555556</x:v>
      </x:c>
      <x:c r="H8" s="9" t="n">
        <x:f>AVERAGE('Raw Data'!B8:M8)</x:f>
        <x:v>0.7565833333333334</x:v>
      </x:c>
      <x:c r="I8" s="9" t="n">
        <x:f>MIN('Raw Data'!B8:M8)</x:f>
        <x:v>0.504</x:v>
      </x:c>
      <x:c r="J8" s="17" t="n">
        <x:f>AVERAGE(RANK.EQ('Raw Data'!B8,'Raw Data'!B$2:B$22,0),RANK.EQ('Raw Data'!C8,'Raw Data'!C$2:C$22,0),RANK.EQ('Raw Data'!D8,'Raw Data'!D$2:D$22,0),RANK.EQ('Raw Data'!E8,'Raw Data'!E$2:E$22,0),RANK.EQ('Raw Data'!F8,'Raw Data'!F$2:F$22,0),RANK.EQ('Raw Data'!G8,'Raw Data'!G$2:G$22,0),RANK.EQ('Raw Data'!H8,'Raw Data'!H$2:H$22,0),RANK.EQ('Raw Data'!I8,'Raw Data'!I$2:I$22,0),RANK.EQ('Raw Data'!J8,'Raw Data'!J$2:J$22,0),RANK.EQ('Raw Data'!K8,'Raw Data'!K$2:K$22,0),RANK.EQ('Raw Data'!L8,'Raw Data'!L$2:L$22,0),RANK.EQ('Raw Data'!M8,'Raw Data'!M$2:M$22,0))</x:f>
        <x:v>10.833333333333334</x:v>
      </x:c>
      <x:c r="K8" s="18" t="n">
        <x:f>SUM(--('Raw Data'!B8=MAX('Raw Data'!B$2:B$22)),--('Raw Data'!C8=MAX('Raw Data'!C$2:C$22)),--('Raw Data'!D8=MAX('Raw Data'!D$2:D$22)),--('Raw Data'!E8=MAX('Raw Data'!E$2:E$22)),--('Raw Data'!F8=MAX('Raw Data'!F$2:F$22)),--('Raw Data'!G8=MAX('Raw Data'!G$2:G$22)),--('Raw Data'!H8=MAX('Raw Data'!H$2:H$22)),--('Raw Data'!I8=MAX('Raw Data'!I$2:I$22)),--('Raw Data'!J8=MAX('Raw Data'!J$2:J$22)),--('Raw Data'!K8=MAX('Raw Data'!K$2:K$22)),--('Raw Data'!L8=MAX('Raw Data'!L$2:L$22)),--('Raw Data'!M8=MAX('Raw Data'!M$2:M$22)))</x:f>
        <x:v>1</x:v>
      </x:c>
      <x:c r="L8" s="9" t="n">
        <x:f>AVERAGE((MAX('Raw Data'!B$2:B$22)-'Raw Data'!B8),(MAX('Raw Data'!C$2:C$22)-'Raw Data'!C8),(MAX('Raw Data'!D$2:D$22)-'Raw Data'!D8),(MAX('Raw Data'!E$2:E$22)-'Raw Data'!E8),(MAX('Raw Data'!F$2:F$22)-'Raw Data'!F8),(MAX('Raw Data'!G$2:G$22)-'Raw Data'!G8),(MAX('Raw Data'!H$2:H$22)-'Raw Data'!H8),(MAX('Raw Data'!I$2:I$22)-'Raw Data'!I8),(MAX('Raw Data'!J$2:J$22)-'Raw Data'!J8),(MAX('Raw Data'!K$2:K$22)-'Raw Data'!K8),(MAX('Raw Data'!L$2:L$22)-'Raw Data'!L8),(MAX('Raw Data'!M$2:M$22)-'Raw Data'!M8))</x:f>
        <x:v>0.1385833333333333</x:v>
      </x:c>
    </x:row>
    <x:row r="9">
      <x:c r="A9" s="10" t="str">
        <x:f>'Raw Data'!A9</x:f>
        <x:v>midterm+lp</x:v>
      </x:c>
      <x:c r="B9" s="10" t="str">
        <x:f>'Raw Data'!N9</x:f>
        <x:v>LP</x:v>
      </x:c>
      <x:c r="C9" s="10" t="str">
        <x:f>'Raw Data'!O9</x:f>
        <x:v>1 graph, 1 task</x:v>
      </x:c>
      <x:c r="D9" s="9" t="n">
        <x:f>AVERAGE('Raw Data'!B9,'Raw Data'!H9,'Raw Data'!L9)</x:f>
        <x:v>0.7360000000000001</x:v>
      </x:c>
      <x:c r="E9" s="9" t="n">
        <x:f>AVERAGE('Raw Data'!C9,'Raw Data'!D9,'Raw Data'!F9,'Raw Data'!I9,'Raw Data'!J9,'Raw Data'!M9)</x:f>
        <x:v>0.7691666666666667</x:v>
      </x:c>
      <x:c r="F9" s="9" t="n">
        <x:f>AVERAGE('Raw Data'!E9,'Raw Data'!G9,'Raw Data'!K9)</x:f>
        <x:v>0.6836666666666668</x:v>
      </x:c>
      <x:c r="G9" s="9" t="n">
        <x:f>AVERAGE(D9:F9)</x:f>
        <x:v>0.7296111111111112</x:v>
      </x:c>
      <x:c r="H9" s="9" t="n">
        <x:f>AVERAGE('Raw Data'!B9:M9)</x:f>
        <x:v>0.7395</x:v>
      </x:c>
      <x:c r="I9" s="9" t="n">
        <x:f>MIN('Raw Data'!B9:M9)</x:f>
        <x:v>0.503</x:v>
      </x:c>
      <x:c r="J9" s="17" t="n">
        <x:f>AVERAGE(RANK.EQ('Raw Data'!B9,'Raw Data'!B$2:B$22,0),RANK.EQ('Raw Data'!C9,'Raw Data'!C$2:C$22,0),RANK.EQ('Raw Data'!D9,'Raw Data'!D$2:D$22,0),RANK.EQ('Raw Data'!E9,'Raw Data'!E$2:E$22,0),RANK.EQ('Raw Data'!F9,'Raw Data'!F$2:F$22,0),RANK.EQ('Raw Data'!G9,'Raw Data'!G$2:G$22,0),RANK.EQ('Raw Data'!H9,'Raw Data'!H$2:H$22,0),RANK.EQ('Raw Data'!I9,'Raw Data'!I$2:I$22,0),RANK.EQ('Raw Data'!J9,'Raw Data'!J$2:J$22,0),RANK.EQ('Raw Data'!K9,'Raw Data'!K$2:K$22,0),RANK.EQ('Raw Data'!L9,'Raw Data'!L$2:L$22,0),RANK.EQ('Raw Data'!M9,'Raw Data'!M$2:M$22,0))</x:f>
        <x:v>11.416666666666666</x:v>
      </x:c>
      <x:c r="K9" s="18" t="n">
        <x:f>SUM(--('Raw Data'!B9=MAX('Raw Data'!B$2:B$22)),--('Raw Data'!C9=MAX('Raw Data'!C$2:C$22)),--('Raw Data'!D9=MAX('Raw Data'!D$2:D$22)),--('Raw Data'!E9=MAX('Raw Data'!E$2:E$22)),--('Raw Data'!F9=MAX('Raw Data'!F$2:F$22)),--('Raw Data'!G9=MAX('Raw Data'!G$2:G$22)),--('Raw Data'!H9=MAX('Raw Data'!H$2:H$22)),--('Raw Data'!I9=MAX('Raw Data'!I$2:I$22)),--('Raw Data'!J9=MAX('Raw Data'!J$2:J$22)),--('Raw Data'!K9=MAX('Raw Data'!K$2:K$22)),--('Raw Data'!L9=MAX('Raw Data'!L$2:L$22)),--('Raw Data'!M9=MAX('Raw Data'!M$2:M$22)))</x:f>
        <x:v>1</x:v>
      </x:c>
      <x:c r="L9" s="9" t="n">
        <x:f>AVERAGE((MAX('Raw Data'!B$2:B$22)-'Raw Data'!B9),(MAX('Raw Data'!C$2:C$22)-'Raw Data'!C9),(MAX('Raw Data'!D$2:D$22)-'Raw Data'!D9),(MAX('Raw Data'!E$2:E$22)-'Raw Data'!E9),(MAX('Raw Data'!F$2:F$22)-'Raw Data'!F9),(MAX('Raw Data'!G$2:G$22)-'Raw Data'!G9),(MAX('Raw Data'!H$2:H$22)-'Raw Data'!H9),(MAX('Raw Data'!I$2:I$22)-'Raw Data'!I9),(MAX('Raw Data'!J$2:J$22)-'Raw Data'!J9),(MAX('Raw Data'!K$2:K$22)-'Raw Data'!K9),(MAX('Raw Data'!L$2:L$22)-'Raw Data'!L9),(MAX('Raw Data'!M$2:M$22)-'Raw Data'!M9))</x:f>
        <x:v>0.1556666666666667</x:v>
      </x:c>
    </x:row>
    <x:row r="10">
      <x:c r="A10" s="10" t="str">
        <x:f>'Raw Data'!A10</x:f>
        <x:v>ukr_rus_twitter+lp</x:v>
      </x:c>
      <x:c r="B10" s="10" t="str">
        <x:f>'Raw Data'!N10</x:f>
        <x:v>LP</x:v>
      </x:c>
      <x:c r="C10" s="10" t="str">
        <x:f>'Raw Data'!O10</x:f>
        <x:v>1 graph, 1 task</x:v>
      </x:c>
      <x:c r="D10" s="9" t="n">
        <x:f>AVERAGE('Raw Data'!B10,'Raw Data'!H10,'Raw Data'!L10)</x:f>
        <x:v>0.848</x:v>
      </x:c>
      <x:c r="E10" s="9" t="n">
        <x:f>AVERAGE('Raw Data'!C10,'Raw Data'!D10,'Raw Data'!F10,'Raw Data'!I10,'Raw Data'!J10,'Raw Data'!M10)</x:f>
        <x:v>0.7833333333333333</x:v>
      </x:c>
      <x:c r="F10" s="9" t="n">
        <x:f>AVERAGE('Raw Data'!E10,'Raw Data'!G10,'Raw Data'!K10)</x:f>
        <x:v>0.6166666666666667</x:v>
      </x:c>
      <x:c r="G10" s="9" t="n">
        <x:f>AVERAGE(D10:F10)</x:f>
        <x:v>0.7493333333333334</x:v>
      </x:c>
      <x:c r="H10" s="9" t="n">
        <x:f>AVERAGE('Raw Data'!B10:M10)</x:f>
        <x:v>0.7578333333333332</x:v>
      </x:c>
      <x:c r="I10" s="9" t="n">
        <x:f>MIN('Raw Data'!B10:M10)</x:f>
        <x:v>0.519</x:v>
      </x:c>
      <x:c r="J10" s="17" t="n">
        <x:f>AVERAGE(RANK.EQ('Raw Data'!B10,'Raw Data'!B$2:B$22,0),RANK.EQ('Raw Data'!C10,'Raw Data'!C$2:C$22,0),RANK.EQ('Raw Data'!D10,'Raw Data'!D$2:D$22,0),RANK.EQ('Raw Data'!E10,'Raw Data'!E$2:E$22,0),RANK.EQ('Raw Data'!F10,'Raw Data'!F$2:F$22,0),RANK.EQ('Raw Data'!G10,'Raw Data'!G$2:G$22,0),RANK.EQ('Raw Data'!H10,'Raw Data'!H$2:H$22,0),RANK.EQ('Raw Data'!I10,'Raw Data'!I$2:I$22,0),RANK.EQ('Raw Data'!J10,'Raw Data'!J$2:J$22,0),RANK.EQ('Raw Data'!K10,'Raw Data'!K$2:K$22,0),RANK.EQ('Raw Data'!L10,'Raw Data'!L$2:L$22,0),RANK.EQ('Raw Data'!M10,'Raw Data'!M$2:M$22,0))</x:f>
        <x:v>10.083333333333334</x:v>
      </x:c>
      <x:c r="K10" s="18" t="n">
        <x:f>SUM(--('Raw Data'!B10=MAX('Raw Data'!B$2:B$22)),--('Raw Data'!C10=MAX('Raw Data'!C$2:C$22)),--('Raw Data'!D10=MAX('Raw Data'!D$2:D$22)),--('Raw Data'!E10=MAX('Raw Data'!E$2:E$22)),--('Raw Data'!F10=MAX('Raw Data'!F$2:F$22)),--('Raw Data'!G10=MAX('Raw Data'!G$2:G$22)),--('Raw Data'!H10=MAX('Raw Data'!H$2:H$22)),--('Raw Data'!I10=MAX('Raw Data'!I$2:I$22)),--('Raw Data'!J10=MAX('Raw Data'!J$2:J$22)),--('Raw Data'!K10=MAX('Raw Data'!K$2:K$22)),--('Raw Data'!L10=MAX('Raw Data'!L$2:L$22)),--('Raw Data'!M10=MAX('Raw Data'!M$2:M$22)))</x:f>
        <x:v>1</x:v>
      </x:c>
      <x:c r="L10" s="9" t="n">
        <x:f>AVERAGE((MAX('Raw Data'!B$2:B$22)-'Raw Data'!B10),(MAX('Raw Data'!C$2:C$22)-'Raw Data'!C10),(MAX('Raw Data'!D$2:D$22)-'Raw Data'!D10),(MAX('Raw Data'!E$2:E$22)-'Raw Data'!E10),(MAX('Raw Data'!F$2:F$22)-'Raw Data'!F10),(MAX('Raw Data'!G$2:G$22)-'Raw Data'!G10),(MAX('Raw Data'!H$2:H$22)-'Raw Data'!H10),(MAX('Raw Data'!I$2:I$22)-'Raw Data'!I10),(MAX('Raw Data'!J$2:J$22)-'Raw Data'!J10),(MAX('Raw Data'!K$2:K$22)-'Raw Data'!K10),(MAX('Raw Data'!L$2:L$22)-'Raw Data'!L10),(MAX('Raw Data'!M$2:M$22)-'Raw Data'!M10))</x:f>
        <x:v>0.13733333333333334</x:v>
      </x:c>
    </x:row>
    <x:row r="11">
      <x:c r="A11" s="10" t="str">
        <x:f>'Raw Data'!A11</x:f>
        <x:v>covid19_twitter+lp&gt;ukr_rus_twitter+lp</x:v>
      </x:c>
      <x:c r="B11" s="10" t="str">
        <x:f>'Raw Data'!N11</x:f>
        <x:v>LP&gt;LP</x:v>
      </x:c>
      <x:c r="C11" s="10" t="str">
        <x:f>'Raw Data'!O11</x:f>
        <x:v>2 graphs (sequential), 1 task</x:v>
      </x:c>
      <x:c r="D11" s="9" t="n">
        <x:f>AVERAGE('Raw Data'!B11,'Raw Data'!H11,'Raw Data'!L11)</x:f>
        <x:v>0.8796666666666667</x:v>
      </x:c>
      <x:c r="E11" s="9" t="n">
        <x:f>AVERAGE('Raw Data'!C11,'Raw Data'!D11,'Raw Data'!F11,'Raw Data'!I11,'Raw Data'!J11,'Raw Data'!M11)</x:f>
        <x:v>0.7521666666666667</x:v>
      </x:c>
      <x:c r="F11" s="9" t="n">
        <x:f>AVERAGE('Raw Data'!E11,'Raw Data'!G11,'Raw Data'!K11)</x:f>
        <x:v>0.5646666666666667</x:v>
      </x:c>
      <x:c r="G11" s="9" t="n">
        <x:f>AVERAGE(D11:F11)</x:f>
        <x:v>0.7321666666666666</x:v>
      </x:c>
      <x:c r="H11" s="9" t="n">
        <x:f>AVERAGE('Raw Data'!B11:M11)</x:f>
        <x:v>0.7371666666666669</x:v>
      </x:c>
      <x:c r="I11" s="9" t="n">
        <x:f>MIN('Raw Data'!B11:M11)</x:f>
        <x:v>0.527</x:v>
      </x:c>
      <x:c r="J11" s="17" t="n">
        <x:f>AVERAGE(RANK.EQ('Raw Data'!B11,'Raw Data'!B$2:B$22,0),RANK.EQ('Raw Data'!C11,'Raw Data'!C$2:C$22,0),RANK.EQ('Raw Data'!D11,'Raw Data'!D$2:D$22,0),RANK.EQ('Raw Data'!E11,'Raw Data'!E$2:E$22,0),RANK.EQ('Raw Data'!F11,'Raw Data'!F$2:F$22,0),RANK.EQ('Raw Data'!G11,'Raw Data'!G$2:G$22,0),RANK.EQ('Raw Data'!H11,'Raw Data'!H$2:H$22,0),RANK.EQ('Raw Data'!I11,'Raw Data'!I$2:I$22,0),RANK.EQ('Raw Data'!J11,'Raw Data'!J$2:J$22,0),RANK.EQ('Raw Data'!K11,'Raw Data'!K$2:K$22,0),RANK.EQ('Raw Data'!L11,'Raw Data'!L$2:L$22,0),RANK.EQ('Raw Data'!M11,'Raw Data'!M$2:M$22,0))</x:f>
        <x:v>10.5</x:v>
      </x:c>
      <x:c r="K11" s="18" t="n">
        <x:f>SUM(--('Raw Data'!B11=MAX('Raw Data'!B$2:B$22)),--('Raw Data'!C11=MAX('Raw Data'!C$2:C$22)),--('Raw Data'!D11=MAX('Raw Data'!D$2:D$22)),--('Raw Data'!E11=MAX('Raw Data'!E$2:E$22)),--('Raw Data'!F11=MAX('Raw Data'!F$2:F$22)),--('Raw Data'!G11=MAX('Raw Data'!G$2:G$22)),--('Raw Data'!H11=MAX('Raw Data'!H$2:H$22)),--('Raw Data'!I11=MAX('Raw Data'!I$2:I$22)),--('Raw Data'!J11=MAX('Raw Data'!J$2:J$22)),--('Raw Data'!K11=MAX('Raw Data'!K$2:K$22)),--('Raw Data'!L11=MAX('Raw Data'!L$2:L$22)),--('Raw Data'!M11=MAX('Raw Data'!M$2:M$22)))</x:f>
        <x:v>0</x:v>
      </x:c>
      <x:c r="L11" s="9" t="n">
        <x:f>AVERAGE((MAX('Raw Data'!B$2:B$22)-'Raw Data'!B11),(MAX('Raw Data'!C$2:C$22)-'Raw Data'!C11),(MAX('Raw Data'!D$2:D$22)-'Raw Data'!D11),(MAX('Raw Data'!E$2:E$22)-'Raw Data'!E11),(MAX('Raw Data'!F$2:F$22)-'Raw Data'!F11),(MAX('Raw Data'!G$2:G$22)-'Raw Data'!G11),(MAX('Raw Data'!H$2:H$22)-'Raw Data'!H11),(MAX('Raw Data'!I$2:I$22)-'Raw Data'!I11),(MAX('Raw Data'!J$2:J$22)-'Raw Data'!J11),(MAX('Raw Data'!K$2:K$22)-'Raw Data'!K11),(MAX('Raw Data'!L$2:L$22)-'Raw Data'!L11),(MAX('Raw Data'!M$2:M$22)-'Raw Data'!M11))</x:f>
        <x:v>0.158</x:v>
      </x:c>
    </x:row>
    <x:row r="12">
      <x:c r="A12" s="10" t="str">
        <x:f>'Raw Data'!A12</x:f>
        <x:v>midterm+lp&gt;covid19_twitter+lp</x:v>
      </x:c>
      <x:c r="B12" s="10" t="str">
        <x:f>'Raw Data'!N12</x:f>
        <x:v>LP&gt;LP</x:v>
      </x:c>
      <x:c r="C12" s="10" t="str">
        <x:f>'Raw Data'!O12</x:f>
        <x:v>2 graphs (sequential), 1 task</x:v>
      </x:c>
      <x:c r="D12" s="9" t="n">
        <x:f>AVERAGE('Raw Data'!B12,'Raw Data'!H12,'Raw Data'!L12)</x:f>
        <x:v>0.848</x:v>
      </x:c>
      <x:c r="E12" s="9" t="n">
        <x:f>AVERAGE('Raw Data'!C12,'Raw Data'!D12,'Raw Data'!F12,'Raw Data'!I12,'Raw Data'!J12,'Raw Data'!M12)</x:f>
        <x:v>0.7331666666666669</x:v>
      </x:c>
      <x:c r="F12" s="9" t="n">
        <x:f>AVERAGE('Raw Data'!E12,'Raw Data'!G12,'Raw Data'!K12)</x:f>
        <x:v>0.5393333333333333</x:v>
      </x:c>
      <x:c r="G12" s="9" t="n">
        <x:f>AVERAGE(D12:F12)</x:f>
        <x:v>0.7068333333333334</x:v>
      </x:c>
      <x:c r="H12" s="9" t="n">
        <x:f>AVERAGE('Raw Data'!B12:M12)</x:f>
        <x:v>0.7134166666666668</x:v>
      </x:c>
      <x:c r="I12" s="9" t="n">
        <x:f>MIN('Raw Data'!B12:M12)</x:f>
        <x:v>0.506</x:v>
      </x:c>
      <x:c r="J12" s="17" t="n">
        <x:f>AVERAGE(RANK.EQ('Raw Data'!B12,'Raw Data'!B$2:B$22,0),RANK.EQ('Raw Data'!C12,'Raw Data'!C$2:C$22,0),RANK.EQ('Raw Data'!D12,'Raw Data'!D$2:D$22,0),RANK.EQ('Raw Data'!E12,'Raw Data'!E$2:E$22,0),RANK.EQ('Raw Data'!F12,'Raw Data'!F$2:F$22,0),RANK.EQ('Raw Data'!G12,'Raw Data'!G$2:G$22,0),RANK.EQ('Raw Data'!H12,'Raw Data'!H$2:H$22,0),RANK.EQ('Raw Data'!I12,'Raw Data'!I$2:I$22,0),RANK.EQ('Raw Data'!J12,'Raw Data'!J$2:J$22,0),RANK.EQ('Raw Data'!K12,'Raw Data'!K$2:K$22,0),RANK.EQ('Raw Data'!L12,'Raw Data'!L$2:L$22,0),RANK.EQ('Raw Data'!M12,'Raw Data'!M$2:M$22,0))</x:f>
        <x:v>14.25</x:v>
      </x:c>
      <x:c r="K12" s="18" t="n">
        <x:f>SUM(--('Raw Data'!B12=MAX('Raw Data'!B$2:B$22)),--('Raw Data'!C12=MAX('Raw Data'!C$2:C$22)),--('Raw Data'!D12=MAX('Raw Data'!D$2:D$22)),--('Raw Data'!E12=MAX('Raw Data'!E$2:E$22)),--('Raw Data'!F12=MAX('Raw Data'!F$2:F$22)),--('Raw Data'!G12=MAX('Raw Data'!G$2:G$22)),--('Raw Data'!H12=MAX('Raw Data'!H$2:H$22)),--('Raw Data'!I12=MAX('Raw Data'!I$2:I$22)),--('Raw Data'!J12=MAX('Raw Data'!J$2:J$22)),--('Raw Data'!K12=MAX('Raw Data'!K$2:K$22)),--('Raw Data'!L12=MAX('Raw Data'!L$2:L$22)),--('Raw Data'!M12=MAX('Raw Data'!M$2:M$22)))</x:f>
        <x:v>0</x:v>
      </x:c>
      <x:c r="L12" s="9" t="n">
        <x:f>AVERAGE((MAX('Raw Data'!B$2:B$22)-'Raw Data'!B12),(MAX('Raw Data'!C$2:C$22)-'Raw Data'!C12),(MAX('Raw Data'!D$2:D$22)-'Raw Data'!D12),(MAX('Raw Data'!E$2:E$22)-'Raw Data'!E12),(MAX('Raw Data'!F$2:F$22)-'Raw Data'!F12),(MAX('Raw Data'!G$2:G$22)-'Raw Data'!G12),(MAX('Raw Data'!H$2:H$22)-'Raw Data'!H12),(MAX('Raw Data'!I$2:I$22)-'Raw Data'!I12),(MAX('Raw Data'!J$2:J$22)-'Raw Data'!J12),(MAX('Raw Data'!K$2:K$22)-'Raw Data'!K12),(MAX('Raw Data'!L$2:L$22)-'Raw Data'!L12),(MAX('Raw Data'!M$2:M$22)-'Raw Data'!M12))</x:f>
        <x:v>0.18175</x:v>
      </x:c>
    </x:row>
    <x:row r="13">
      <x:c r="A13" s="10" t="str">
        <x:f>'Raw Data'!A13</x:f>
        <x:v>midterm+lp&gt;ukr_rus_twitter+lp</x:v>
      </x:c>
      <x:c r="B13" s="10" t="str">
        <x:f>'Raw Data'!N13</x:f>
        <x:v>LP&gt;LP</x:v>
      </x:c>
      <x:c r="C13" s="10" t="str">
        <x:f>'Raw Data'!O13</x:f>
        <x:v>2 graphs (sequential), 1 task</x:v>
      </x:c>
      <x:c r="D13" s="9" t="n">
        <x:f>AVERAGE('Raw Data'!B13,'Raw Data'!H13,'Raw Data'!L13)</x:f>
        <x:v>0.8633333333333333</x:v>
      </x:c>
      <x:c r="E13" s="9" t="n">
        <x:f>AVERAGE('Raw Data'!C13,'Raw Data'!D13,'Raw Data'!F13,'Raw Data'!I13,'Raw Data'!J13,'Raw Data'!M13)</x:f>
        <x:v>0.7746666666666666</x:v>
      </x:c>
      <x:c r="F13" s="9" t="n">
        <x:f>AVERAGE('Raw Data'!E13,'Raw Data'!G13,'Raw Data'!K13)</x:f>
        <x:v>0.6016666666666667</x:v>
      </x:c>
      <x:c r="G13" s="9" t="n">
        <x:f>AVERAGE(D13:F13)</x:f>
        <x:v>0.7465555555555555</x:v>
      </x:c>
      <x:c r="H13" s="9" t="n">
        <x:f>AVERAGE('Raw Data'!B13:M13)</x:f>
        <x:v>0.7535833333333334</x:v>
      </x:c>
      <x:c r="I13" s="9" t="n">
        <x:f>MIN('Raw Data'!B13:M13)</x:f>
        <x:v>0.523</x:v>
      </x:c>
      <x:c r="J13" s="17" t="n">
        <x:f>AVERAGE(RANK.EQ('Raw Data'!B13,'Raw Data'!B$2:B$22,0),RANK.EQ('Raw Data'!C13,'Raw Data'!C$2:C$22,0),RANK.EQ('Raw Data'!D13,'Raw Data'!D$2:D$22,0),RANK.EQ('Raw Data'!E13,'Raw Data'!E$2:E$22,0),RANK.EQ('Raw Data'!F13,'Raw Data'!F$2:F$22,0),RANK.EQ('Raw Data'!G13,'Raw Data'!G$2:G$22,0),RANK.EQ('Raw Data'!H13,'Raw Data'!H$2:H$22,0),RANK.EQ('Raw Data'!I13,'Raw Data'!I$2:I$22,0),RANK.EQ('Raw Data'!J13,'Raw Data'!J$2:J$22,0),RANK.EQ('Raw Data'!K13,'Raw Data'!K$2:K$22,0),RANK.EQ('Raw Data'!L13,'Raw Data'!L$2:L$22,0),RANK.EQ('Raw Data'!M13,'Raw Data'!M$2:M$22,0))</x:f>
        <x:v>10</x:v>
      </x:c>
      <x:c r="K13" s="18" t="n">
        <x:f>SUM(--('Raw Data'!B13=MAX('Raw Data'!B$2:B$22)),--('Raw Data'!C13=MAX('Raw Data'!C$2:C$22)),--('Raw Data'!D13=MAX('Raw Data'!D$2:D$22)),--('Raw Data'!E13=MAX('Raw Data'!E$2:E$22)),--('Raw Data'!F13=MAX('Raw Data'!F$2:F$22)),--('Raw Data'!G13=MAX('Raw Data'!G$2:G$22)),--('Raw Data'!H13=MAX('Raw Data'!H$2:H$22)),--('Raw Data'!I13=MAX('Raw Data'!I$2:I$22)),--('Raw Data'!J13=MAX('Raw Data'!J$2:J$22)),--('Raw Data'!K13=MAX('Raw Data'!K$2:K$22)),--('Raw Data'!L13=MAX('Raw Data'!L$2:L$22)),--('Raw Data'!M13=MAX('Raw Data'!M$2:M$22)))</x:f>
        <x:v>0</x:v>
      </x:c>
      <x:c r="L13" s="9" t="n">
        <x:f>AVERAGE((MAX('Raw Data'!B$2:B$22)-'Raw Data'!B13),(MAX('Raw Data'!C$2:C$22)-'Raw Data'!C13),(MAX('Raw Data'!D$2:D$22)-'Raw Data'!D13),(MAX('Raw Data'!E$2:E$22)-'Raw Data'!E13),(MAX('Raw Data'!F$2:F$22)-'Raw Data'!F13),(MAX('Raw Data'!G$2:G$22)-'Raw Data'!G13),(MAX('Raw Data'!H$2:H$22)-'Raw Data'!H13),(MAX('Raw Data'!I$2:I$22)-'Raw Data'!I13),(MAX('Raw Data'!J$2:J$22)-'Raw Data'!J13),(MAX('Raw Data'!K$2:K$22)-'Raw Data'!K13),(MAX('Raw Data'!L$2:L$22)-'Raw Data'!L13),(MAX('Raw Data'!M$2:M$22)-'Raw Data'!M13))</x:f>
        <x:v>0.14158333333333334</x:v>
      </x:c>
    </x:row>
    <x:row r="14">
      <x:c r="A14" s="10" t="str">
        <x:f>'Raw Data'!A14</x:f>
        <x:v>covid19_twitter+nm&gt;ukr_rus_twitter+nm</x:v>
      </x:c>
      <x:c r="B14" s="10" t="str">
        <x:f>'Raw Data'!N14</x:f>
        <x:v>NM&gt;NM</x:v>
      </x:c>
      <x:c r="C14" s="10" t="str">
        <x:f>'Raw Data'!O14</x:f>
        <x:v>2 graphs (sequential), 1 task</x:v>
      </x:c>
      <x:c r="D14" s="9" t="n">
        <x:f>AVERAGE('Raw Data'!B14,'Raw Data'!H14,'Raw Data'!L14)</x:f>
        <x:v>0.6246666666666667</x:v>
      </x:c>
      <x:c r="E14" s="9" t="n">
        <x:f>AVERAGE('Raw Data'!C14,'Raw Data'!D14,'Raw Data'!F14,'Raw Data'!I14,'Raw Data'!J14,'Raw Data'!M14)</x:f>
        <x:v>0.8041666666666667</x:v>
      </x:c>
      <x:c r="F14" s="9" t="n">
        <x:f>AVERAGE('Raw Data'!E14,'Raw Data'!G14,'Raw Data'!K14)</x:f>
        <x:v>0.626</x:v>
      </x:c>
      <x:c r="G14" s="9" t="n">
        <x:f>AVERAGE(D14:F14)</x:f>
        <x:v>0.6849444444444445</x:v>
      </x:c>
      <x:c r="H14" s="9" t="n">
        <x:f>AVERAGE('Raw Data'!B14:M14)</x:f>
        <x:v>0.7147500000000001</x:v>
      </x:c>
      <x:c r="I14" s="9" t="n">
        <x:f>MIN('Raw Data'!B14:M14)</x:f>
        <x:v>0.511</x:v>
      </x:c>
      <x:c r="J14" s="17" t="n">
        <x:f>AVERAGE(RANK.EQ('Raw Data'!B14,'Raw Data'!B$2:B$22,0),RANK.EQ('Raw Data'!C14,'Raw Data'!C$2:C$22,0),RANK.EQ('Raw Data'!D14,'Raw Data'!D$2:D$22,0),RANK.EQ('Raw Data'!E14,'Raw Data'!E$2:E$22,0),RANK.EQ('Raw Data'!F14,'Raw Data'!F$2:F$22,0),RANK.EQ('Raw Data'!G14,'Raw Data'!G$2:G$22,0),RANK.EQ('Raw Data'!H14,'Raw Data'!H$2:H$22,0),RANK.EQ('Raw Data'!I14,'Raw Data'!I$2:I$22,0),RANK.EQ('Raw Data'!J14,'Raw Data'!J$2:J$22,0),RANK.EQ('Raw Data'!K14,'Raw Data'!K$2:K$22,0),RANK.EQ('Raw Data'!L14,'Raw Data'!L$2:L$22,0),RANK.EQ('Raw Data'!M14,'Raw Data'!M$2:M$22,0))</x:f>
        <x:v>11.333333333333334</x:v>
      </x:c>
      <x:c r="K14" s="18" t="n">
        <x:f>SUM(--('Raw Data'!B14=MAX('Raw Data'!B$2:B$22)),--('Raw Data'!C14=MAX('Raw Data'!C$2:C$22)),--('Raw Data'!D14=MAX('Raw Data'!D$2:D$22)),--('Raw Data'!E14=MAX('Raw Data'!E$2:E$22)),--('Raw Data'!F14=MAX('Raw Data'!F$2:F$22)),--('Raw Data'!G14=MAX('Raw Data'!G$2:G$22)),--('Raw Data'!H14=MAX('Raw Data'!H$2:H$22)),--('Raw Data'!I14=MAX('Raw Data'!I$2:I$22)),--('Raw Data'!J14=MAX('Raw Data'!J$2:J$22)),--('Raw Data'!K14=MAX('Raw Data'!K$2:K$22)),--('Raw Data'!L14=MAX('Raw Data'!L$2:L$22)),--('Raw Data'!M14=MAX('Raw Data'!M$2:M$22)))</x:f>
        <x:v>0</x:v>
      </x:c>
      <x:c r="L14" s="9" t="n">
        <x:f>AVERAGE((MAX('Raw Data'!B$2:B$22)-'Raw Data'!B14),(MAX('Raw Data'!C$2:C$22)-'Raw Data'!C14),(MAX('Raw Data'!D$2:D$22)-'Raw Data'!D14),(MAX('Raw Data'!E$2:E$22)-'Raw Data'!E14),(MAX('Raw Data'!F$2:F$22)-'Raw Data'!F14),(MAX('Raw Data'!G$2:G$22)-'Raw Data'!G14),(MAX('Raw Data'!H$2:H$22)-'Raw Data'!H14),(MAX('Raw Data'!I$2:I$22)-'Raw Data'!I14),(MAX('Raw Data'!J$2:J$22)-'Raw Data'!J14),(MAX('Raw Data'!K$2:K$22)-'Raw Data'!K14),(MAX('Raw Data'!L$2:L$22)-'Raw Data'!L14),(MAX('Raw Data'!M$2:M$22)-'Raw Data'!M14))</x:f>
        <x:v>0.18041666666666667</x:v>
      </x:c>
    </x:row>
    <x:row r="15">
      <x:c r="A15" s="10" t="str">
        <x:f>'Raw Data'!A15</x:f>
        <x:v>midterm+nm&gt;covid19_twitter+nm</x:v>
      </x:c>
      <x:c r="B15" s="10" t="str">
        <x:f>'Raw Data'!N15</x:f>
        <x:v>NM&gt;NM</x:v>
      </x:c>
      <x:c r="C15" s="10" t="str">
        <x:f>'Raw Data'!O15</x:f>
        <x:v>2 graphs (sequential), 1 task</x:v>
      </x:c>
      <x:c r="D15" s="9" t="n">
        <x:f>AVERAGE('Raw Data'!B15,'Raw Data'!H15,'Raw Data'!L15)</x:f>
        <x:v>0.824</x:v>
      </x:c>
      <x:c r="E15" s="9" t="n">
        <x:f>AVERAGE('Raw Data'!C15,'Raw Data'!D15,'Raw Data'!F15,'Raw Data'!I15,'Raw Data'!J15,'Raw Data'!M15)</x:f>
        <x:v>0.8971666666666666</x:v>
      </x:c>
      <x:c r="F15" s="9" t="n">
        <x:f>AVERAGE('Raw Data'!E15,'Raw Data'!G15,'Raw Data'!K15)</x:f>
        <x:v>0.7456666666666667</x:v>
      </x:c>
      <x:c r="G15" s="9" t="n">
        <x:f>AVERAGE(D15:F15)</x:f>
        <x:v>0.8222777777777778</x:v>
      </x:c>
      <x:c r="H15" s="9" t="n">
        <x:f>AVERAGE('Raw Data'!B15:M15)</x:f>
        <x:v>0.8410000000000001</x:v>
      </x:c>
      <x:c r="I15" s="9" t="n">
        <x:f>MIN('Raw Data'!B15:M15)</x:f>
        <x:v>0.515</x:v>
      </x:c>
      <x:c r="J15" s="17" t="n">
        <x:f>AVERAGE(RANK.EQ('Raw Data'!B15,'Raw Data'!B$2:B$22,0),RANK.EQ('Raw Data'!C15,'Raw Data'!C$2:C$22,0),RANK.EQ('Raw Data'!D15,'Raw Data'!D$2:D$22,0),RANK.EQ('Raw Data'!E15,'Raw Data'!E$2:E$22,0),RANK.EQ('Raw Data'!F15,'Raw Data'!F$2:F$22,0),RANK.EQ('Raw Data'!G15,'Raw Data'!G$2:G$22,0),RANK.EQ('Raw Data'!H15,'Raw Data'!H$2:H$22,0),RANK.EQ('Raw Data'!I15,'Raw Data'!I$2:I$22,0),RANK.EQ('Raw Data'!J15,'Raw Data'!J$2:J$22,0),RANK.EQ('Raw Data'!K15,'Raw Data'!K$2:K$22,0),RANK.EQ('Raw Data'!L15,'Raw Data'!L$2:L$22,0),RANK.EQ('Raw Data'!M15,'Raw Data'!M$2:M$22,0))</x:f>
        <x:v>4.5</x:v>
      </x:c>
      <x:c r="K15" s="18" t="n">
        <x:f>SUM(--('Raw Data'!B15=MAX('Raw Data'!B$2:B$22)),--('Raw Data'!C15=MAX('Raw Data'!C$2:C$22)),--('Raw Data'!D15=MAX('Raw Data'!D$2:D$22)),--('Raw Data'!E15=MAX('Raw Data'!E$2:E$22)),--('Raw Data'!F15=MAX('Raw Data'!F$2:F$22)),--('Raw Data'!G15=MAX('Raw Data'!G$2:G$22)),--('Raw Data'!H15=MAX('Raw Data'!H$2:H$22)),--('Raw Data'!I15=MAX('Raw Data'!I$2:I$22)),--('Raw Data'!J15=MAX('Raw Data'!J$2:J$22)),--('Raw Data'!K15=MAX('Raw Data'!K$2:K$22)),--('Raw Data'!L15=MAX('Raw Data'!L$2:L$22)),--('Raw Data'!M15=MAX('Raw Data'!M$2:M$22)))</x:f>
        <x:v>0</x:v>
      </x:c>
      <x:c r="L15" s="9" t="n">
        <x:f>AVERAGE((MAX('Raw Data'!B$2:B$22)-'Raw Data'!B15),(MAX('Raw Data'!C$2:C$22)-'Raw Data'!C15),(MAX('Raw Data'!D$2:D$22)-'Raw Data'!D15),(MAX('Raw Data'!E$2:E$22)-'Raw Data'!E15),(MAX('Raw Data'!F$2:F$22)-'Raw Data'!F15),(MAX('Raw Data'!G$2:G$22)-'Raw Data'!G15),(MAX('Raw Data'!H$2:H$22)-'Raw Data'!H15),(MAX('Raw Data'!I$2:I$22)-'Raw Data'!I15),(MAX('Raw Data'!J$2:J$22)-'Raw Data'!J15),(MAX('Raw Data'!K$2:K$22)-'Raw Data'!K15),(MAX('Raw Data'!L$2:L$22)-'Raw Data'!L15),(MAX('Raw Data'!M$2:M$22)-'Raw Data'!M15))</x:f>
        <x:v>0.05416666666666667</x:v>
      </x:c>
    </x:row>
    <x:row r="16">
      <x:c r="A16" s="10" t="str">
        <x:f>'Raw Data'!A16</x:f>
        <x:v>midterm+nm&gt;ukr_rus_twitter+nm</x:v>
      </x:c>
      <x:c r="B16" s="10" t="str">
        <x:f>'Raw Data'!N16</x:f>
        <x:v>NM&gt;NM</x:v>
      </x:c>
      <x:c r="C16" s="10" t="str">
        <x:f>'Raw Data'!O16</x:f>
        <x:v>2 graphs (sequential), 1 task</x:v>
      </x:c>
      <x:c r="D16" s="9" t="n">
        <x:f>AVERAGE('Raw Data'!B16,'Raw Data'!H16,'Raw Data'!L16)</x:f>
        <x:v>0.8076666666666666</x:v>
      </x:c>
      <x:c r="E16" s="9" t="n">
        <x:f>AVERAGE('Raw Data'!C16,'Raw Data'!D16,'Raw Data'!F16,'Raw Data'!I16,'Raw Data'!J16,'Raw Data'!M16)</x:f>
        <x:v>0.8484999999999999</x:v>
      </x:c>
      <x:c r="F16" s="9" t="n">
        <x:f>AVERAGE('Raw Data'!E16,'Raw Data'!G16,'Raw Data'!K16)</x:f>
        <x:v>0.6823333333333333</x:v>
      </x:c>
      <x:c r="G16" s="9" t="n">
        <x:f>AVERAGE(D16:F16)</x:f>
        <x:v>0.7795</x:v>
      </x:c>
      <x:c r="H16" s="9" t="n">
        <x:f>AVERAGE('Raw Data'!B16:M16)</x:f>
        <x:v>0.7967499999999998</x:v>
      </x:c>
      <x:c r="I16" s="9" t="n">
        <x:f>MIN('Raw Data'!B16:M16)</x:f>
        <x:v>0.503</x:v>
      </x:c>
      <x:c r="J16" s="17" t="n">
        <x:f>AVERAGE(RANK.EQ('Raw Data'!B16,'Raw Data'!B$2:B$22,0),RANK.EQ('Raw Data'!C16,'Raw Data'!C$2:C$22,0),RANK.EQ('Raw Data'!D16,'Raw Data'!D$2:D$22,0),RANK.EQ('Raw Data'!E16,'Raw Data'!E$2:E$22,0),RANK.EQ('Raw Data'!F16,'Raw Data'!F$2:F$22,0),RANK.EQ('Raw Data'!G16,'Raw Data'!G$2:G$22,0),RANK.EQ('Raw Data'!H16,'Raw Data'!H$2:H$22,0),RANK.EQ('Raw Data'!I16,'Raw Data'!I$2:I$22,0),RANK.EQ('Raw Data'!J16,'Raw Data'!J$2:J$22,0),RANK.EQ('Raw Data'!K16,'Raw Data'!K$2:K$22,0),RANK.EQ('Raw Data'!L16,'Raw Data'!L$2:L$22,0),RANK.EQ('Raw Data'!M16,'Raw Data'!M$2:M$22,0))</x:f>
        <x:v>8.166666666666666</x:v>
      </x:c>
      <x:c r="K16" s="18" t="n">
        <x:f>SUM(--('Raw Data'!B16=MAX('Raw Data'!B$2:B$22)),--('Raw Data'!C16=MAX('Raw Data'!C$2:C$22)),--('Raw Data'!D16=MAX('Raw Data'!D$2:D$22)),--('Raw Data'!E16=MAX('Raw Data'!E$2:E$22)),--('Raw Data'!F16=MAX('Raw Data'!F$2:F$22)),--('Raw Data'!G16=MAX('Raw Data'!G$2:G$22)),--('Raw Data'!H16=MAX('Raw Data'!H$2:H$22)),--('Raw Data'!I16=MAX('Raw Data'!I$2:I$22)),--('Raw Data'!J16=MAX('Raw Data'!J$2:J$22)),--('Raw Data'!K16=MAX('Raw Data'!K$2:K$22)),--('Raw Data'!L16=MAX('Raw Data'!L$2:L$22)),--('Raw Data'!M16=MAX('Raw Data'!M$2:M$22)))</x:f>
        <x:v>0</x:v>
      </x:c>
      <x:c r="L16" s="9" t="n">
        <x:f>AVERAGE((MAX('Raw Data'!B$2:B$22)-'Raw Data'!B16),(MAX('Raw Data'!C$2:C$22)-'Raw Data'!C16),(MAX('Raw Data'!D$2:D$22)-'Raw Data'!D16),(MAX('Raw Data'!E$2:E$22)-'Raw Data'!E16),(MAX('Raw Data'!F$2:F$22)-'Raw Data'!F16),(MAX('Raw Data'!G$2:G$22)-'Raw Data'!G16),(MAX('Raw Data'!H$2:H$22)-'Raw Data'!H16),(MAX('Raw Data'!I$2:I$22)-'Raw Data'!I16),(MAX('Raw Data'!J$2:J$22)-'Raw Data'!J16),(MAX('Raw Data'!K$2:K$22)-'Raw Data'!K16),(MAX('Raw Data'!L$2:L$22)-'Raw Data'!L16),(MAX('Raw Data'!M$2:M$22)-'Raw Data'!M16))</x:f>
        <x:v>0.09841666666666667</x:v>
      </x:c>
    </x:row>
    <x:row r="17">
      <x:c r="A17" s="10" t="str">
        <x:f>'Raw Data'!A17</x:f>
        <x:v>midterm+nm&gt;covid19_twitter+lp</x:v>
      </x:c>
      <x:c r="B17" s="10" t="str">
        <x:f>'Raw Data'!N17</x:f>
        <x:v>NM&gt;LP</x:v>
      </x:c>
      <x:c r="C17" s="10" t="str">
        <x:f>'Raw Data'!O17</x:f>
        <x:v>2 graphs (sequential), 2 tasks (sequential)</x:v>
      </x:c>
      <x:c r="D17" s="9" t="n">
        <x:f>AVERAGE('Raw Data'!B17,'Raw Data'!H17,'Raw Data'!L17)</x:f>
        <x:v>0.8626666666666667</x:v>
      </x:c>
      <x:c r="E17" s="9" t="n">
        <x:f>AVERAGE('Raw Data'!C17,'Raw Data'!D17,'Raw Data'!F17,'Raw Data'!I17,'Raw Data'!J17,'Raw Data'!M17)</x:f>
        <x:v>0.7555000000000001</x:v>
      </x:c>
      <x:c r="F17" s="9" t="n">
        <x:f>AVERAGE('Raw Data'!E17,'Raw Data'!G17,'Raw Data'!K17)</x:f>
        <x:v>0.5619999999999999</x:v>
      </x:c>
      <x:c r="G17" s="9" t="n">
        <x:f>AVERAGE(D17:F17)</x:f>
        <x:v>0.7267222222222222</x:v>
      </x:c>
      <x:c r="H17" s="9" t="n">
        <x:f>AVERAGE('Raw Data'!B17:M17)</x:f>
        <x:v>0.7339166666666667</x:v>
      </x:c>
      <x:c r="I17" s="9" t="n">
        <x:f>MIN('Raw Data'!B17:M17)</x:f>
        <x:v>0.504</x:v>
      </x:c>
      <x:c r="J17" s="17" t="n">
        <x:f>AVERAGE(RANK.EQ('Raw Data'!B17,'Raw Data'!B$2:B$22,0),RANK.EQ('Raw Data'!C17,'Raw Data'!C$2:C$22,0),RANK.EQ('Raw Data'!D17,'Raw Data'!D$2:D$22,0),RANK.EQ('Raw Data'!E17,'Raw Data'!E$2:E$22,0),RANK.EQ('Raw Data'!F17,'Raw Data'!F$2:F$22,0),RANK.EQ('Raw Data'!G17,'Raw Data'!G$2:G$22,0),RANK.EQ('Raw Data'!H17,'Raw Data'!H$2:H$22,0),RANK.EQ('Raw Data'!I17,'Raw Data'!I$2:I$22,0),RANK.EQ('Raw Data'!J17,'Raw Data'!J$2:J$22,0),RANK.EQ('Raw Data'!K17,'Raw Data'!K$2:K$22,0),RANK.EQ('Raw Data'!L17,'Raw Data'!L$2:L$22,0),RANK.EQ('Raw Data'!M17,'Raw Data'!M$2:M$22,0))</x:f>
        <x:v>11.916666666666666</x:v>
      </x:c>
      <x:c r="K17" s="18" t="n">
        <x:f>SUM(--('Raw Data'!B17=MAX('Raw Data'!B$2:B$22)),--('Raw Data'!C17=MAX('Raw Data'!C$2:C$22)),--('Raw Data'!D17=MAX('Raw Data'!D$2:D$22)),--('Raw Data'!E17=MAX('Raw Data'!E$2:E$22)),--('Raw Data'!F17=MAX('Raw Data'!F$2:F$22)),--('Raw Data'!G17=MAX('Raw Data'!G$2:G$22)),--('Raw Data'!H17=MAX('Raw Data'!H$2:H$22)),--('Raw Data'!I17=MAX('Raw Data'!I$2:I$22)),--('Raw Data'!J17=MAX('Raw Data'!J$2:J$22)),--('Raw Data'!K17=MAX('Raw Data'!K$2:K$22)),--('Raw Data'!L17=MAX('Raw Data'!L$2:L$22)),--('Raw Data'!M17=MAX('Raw Data'!M$2:M$22)))</x:f>
        <x:v>0</x:v>
      </x:c>
      <x:c r="L17" s="9" t="n">
        <x:f>AVERAGE((MAX('Raw Data'!B$2:B$22)-'Raw Data'!B17),(MAX('Raw Data'!C$2:C$22)-'Raw Data'!C17),(MAX('Raw Data'!D$2:D$22)-'Raw Data'!D17),(MAX('Raw Data'!E$2:E$22)-'Raw Data'!E17),(MAX('Raw Data'!F$2:F$22)-'Raw Data'!F17),(MAX('Raw Data'!G$2:G$22)-'Raw Data'!G17),(MAX('Raw Data'!H$2:H$22)-'Raw Data'!H17),(MAX('Raw Data'!I$2:I$22)-'Raw Data'!I17),(MAX('Raw Data'!J$2:J$22)-'Raw Data'!J17),(MAX('Raw Data'!K$2:K$22)-'Raw Data'!K17),(MAX('Raw Data'!L$2:L$22)-'Raw Data'!L17),(MAX('Raw Data'!M$2:M$22)-'Raw Data'!M17))</x:f>
        <x:v>0.16125</x:v>
      </x:c>
    </x:row>
    <x:row r="18">
      <x:c r="A18" s="10" t="str">
        <x:f>'Raw Data'!A18</x:f>
        <x:v>covid19_twitter+nm&gt;ukr_rus_twitter+lp</x:v>
      </x:c>
      <x:c r="B18" s="10" t="str">
        <x:f>'Raw Data'!N18</x:f>
        <x:v>NM&gt;LP</x:v>
      </x:c>
      <x:c r="C18" s="10" t="str">
        <x:f>'Raw Data'!O18</x:f>
        <x:v>2 graphs (sequential), 2 tasks (sequential)</x:v>
      </x:c>
      <x:c r="D18" s="9" t="n">
        <x:f>AVERAGE('Raw Data'!B18,'Raw Data'!H18,'Raw Data'!L18)</x:f>
        <x:v>0.8416666666666667</x:v>
      </x:c>
      <x:c r="E18" s="9" t="n">
        <x:f>AVERAGE('Raw Data'!C18,'Raw Data'!D18,'Raw Data'!F18,'Raw Data'!I18,'Raw Data'!J18,'Raw Data'!M18)</x:f>
        <x:v>0.7523333333333334</x:v>
      </x:c>
      <x:c r="F18" s="9" t="n">
        <x:f>AVERAGE('Raw Data'!E18,'Raw Data'!G18,'Raw Data'!K18)</x:f>
        <x:v>0.5873333333333334</x:v>
      </x:c>
      <x:c r="G18" s="9" t="n">
        <x:f>AVERAGE(D18:F18)</x:f>
        <x:v>0.7271111111111112</x:v>
      </x:c>
      <x:c r="H18" s="9" t="n">
        <x:f>AVERAGE('Raw Data'!B18:M18)</x:f>
        <x:v>0.7334166666666667</x:v>
      </x:c>
      <x:c r="I18" s="9" t="n">
        <x:f>MIN('Raw Data'!B18:M18)</x:f>
        <x:v>0.539</x:v>
      </x:c>
      <x:c r="J18" s="17" t="n">
        <x:f>AVERAGE(RANK.EQ('Raw Data'!B18,'Raw Data'!B$2:B$22,0),RANK.EQ('Raw Data'!C18,'Raw Data'!C$2:C$22,0),RANK.EQ('Raw Data'!D18,'Raw Data'!D$2:D$22,0),RANK.EQ('Raw Data'!E18,'Raw Data'!E$2:E$22,0),RANK.EQ('Raw Data'!F18,'Raw Data'!F$2:F$22,0),RANK.EQ('Raw Data'!G18,'Raw Data'!G$2:G$22,0),RANK.EQ('Raw Data'!H18,'Raw Data'!H$2:H$22,0),RANK.EQ('Raw Data'!I18,'Raw Data'!I$2:I$22,0),RANK.EQ('Raw Data'!J18,'Raw Data'!J$2:J$22,0),RANK.EQ('Raw Data'!K18,'Raw Data'!K$2:K$22,0),RANK.EQ('Raw Data'!L18,'Raw Data'!L$2:L$22,0),RANK.EQ('Raw Data'!M18,'Raw Data'!M$2:M$22,0))</x:f>
        <x:v>11.833333333333334</x:v>
      </x:c>
      <x:c r="K18" s="18" t="n">
        <x:f>SUM(--('Raw Data'!B18=MAX('Raw Data'!B$2:B$22)),--('Raw Data'!C18=MAX('Raw Data'!C$2:C$22)),--('Raw Data'!D18=MAX('Raw Data'!D$2:D$22)),--('Raw Data'!E18=MAX('Raw Data'!E$2:E$22)),--('Raw Data'!F18=MAX('Raw Data'!F$2:F$22)),--('Raw Data'!G18=MAX('Raw Data'!G$2:G$22)),--('Raw Data'!H18=MAX('Raw Data'!H$2:H$22)),--('Raw Data'!I18=MAX('Raw Data'!I$2:I$22)),--('Raw Data'!J18=MAX('Raw Data'!J$2:J$22)),--('Raw Data'!K18=MAX('Raw Data'!K$2:K$22)),--('Raw Data'!L18=MAX('Raw Data'!L$2:L$22)),--('Raw Data'!M18=MAX('Raw Data'!M$2:M$22)))</x:f>
        <x:v>1</x:v>
      </x:c>
      <x:c r="L18" s="9" t="n">
        <x:f>AVERAGE((MAX('Raw Data'!B$2:B$22)-'Raw Data'!B18),(MAX('Raw Data'!C$2:C$22)-'Raw Data'!C18),(MAX('Raw Data'!D$2:D$22)-'Raw Data'!D18),(MAX('Raw Data'!E$2:E$22)-'Raw Data'!E18),(MAX('Raw Data'!F$2:F$22)-'Raw Data'!F18),(MAX('Raw Data'!G$2:G$22)-'Raw Data'!G18),(MAX('Raw Data'!H$2:H$22)-'Raw Data'!H18),(MAX('Raw Data'!I$2:I$22)-'Raw Data'!I18),(MAX('Raw Data'!J$2:J$22)-'Raw Data'!J18),(MAX('Raw Data'!K$2:K$22)-'Raw Data'!K18),(MAX('Raw Data'!L$2:L$22)-'Raw Data'!L18),(MAX('Raw Data'!M$2:M$22)-'Raw Data'!M18))</x:f>
        <x:v>0.16174999999999995</x:v>
      </x:c>
    </x:row>
    <x:row r="19">
      <x:c r="A19" s="10" t="str">
        <x:f>'Raw Data'!A19</x:f>
        <x:v>midterm+nm&gt;ukr_rus_twitter+lp</x:v>
      </x:c>
      <x:c r="B19" s="10" t="str">
        <x:f>'Raw Data'!N19</x:f>
        <x:v>NM&gt;LP</x:v>
      </x:c>
      <x:c r="C19" s="10" t="str">
        <x:f>'Raw Data'!O19</x:f>
        <x:v>2 graphs (sequential), 2 tasks (sequential)</x:v>
      </x:c>
      <x:c r="D19" s="9" t="n">
        <x:f>AVERAGE('Raw Data'!B19,'Raw Data'!H19,'Raw Data'!L19)</x:f>
        <x:v>0.8483333333333333</x:v>
      </x:c>
      <x:c r="E19" s="9" t="n">
        <x:f>AVERAGE('Raw Data'!C19,'Raw Data'!D19,'Raw Data'!F19,'Raw Data'!I19,'Raw Data'!J19,'Raw Data'!M19)</x:f>
        <x:v>0.7624999999999998</x:v>
      </x:c>
      <x:c r="F19" s="9" t="n">
        <x:f>AVERAGE('Raw Data'!E19,'Raw Data'!G19,'Raw Data'!K19)</x:f>
        <x:v>0.5843333333333334</x:v>
      </x:c>
      <x:c r="G19" s="9" t="n">
        <x:f>AVERAGE(D19:F19)</x:f>
        <x:v>0.731722222222222</x:v>
      </x:c>
      <x:c r="H19" s="9" t="n">
        <x:f>AVERAGE('Raw Data'!B19:M19)</x:f>
        <x:v>0.7394166666666667</x:v>
      </x:c>
      <x:c r="I19" s="9" t="n">
        <x:f>MIN('Raw Data'!B19:M19)</x:f>
        <x:v>0.504</x:v>
      </x:c>
      <x:c r="J19" s="17" t="n">
        <x:f>AVERAGE(RANK.EQ('Raw Data'!B19,'Raw Data'!B$2:B$22,0),RANK.EQ('Raw Data'!C19,'Raw Data'!C$2:C$22,0),RANK.EQ('Raw Data'!D19,'Raw Data'!D$2:D$22,0),RANK.EQ('Raw Data'!E19,'Raw Data'!E$2:E$22,0),RANK.EQ('Raw Data'!F19,'Raw Data'!F$2:F$22,0),RANK.EQ('Raw Data'!G19,'Raw Data'!G$2:G$22,0),RANK.EQ('Raw Data'!H19,'Raw Data'!H$2:H$22,0),RANK.EQ('Raw Data'!I19,'Raw Data'!I$2:I$22,0),RANK.EQ('Raw Data'!J19,'Raw Data'!J$2:J$22,0),RANK.EQ('Raw Data'!K19,'Raw Data'!K$2:K$22,0),RANK.EQ('Raw Data'!L19,'Raw Data'!L$2:L$22,0),RANK.EQ('Raw Data'!M19,'Raw Data'!M$2:M$22,0))</x:f>
        <x:v>11.583333333333334</x:v>
      </x:c>
      <x:c r="K19" s="18" t="n">
        <x:f>SUM(--('Raw Data'!B19=MAX('Raw Data'!B$2:B$22)),--('Raw Data'!C19=MAX('Raw Data'!C$2:C$22)),--('Raw Data'!D19=MAX('Raw Data'!D$2:D$22)),--('Raw Data'!E19=MAX('Raw Data'!E$2:E$22)),--('Raw Data'!F19=MAX('Raw Data'!F$2:F$22)),--('Raw Data'!G19=MAX('Raw Data'!G$2:G$22)),--('Raw Data'!H19=MAX('Raw Data'!H$2:H$22)),--('Raw Data'!I19=MAX('Raw Data'!I$2:I$22)),--('Raw Data'!J19=MAX('Raw Data'!J$2:J$22)),--('Raw Data'!K19=MAX('Raw Data'!K$2:K$22)),--('Raw Data'!L19=MAX('Raw Data'!L$2:L$22)),--('Raw Data'!M19=MAX('Raw Data'!M$2:M$22)))</x:f>
        <x:v>0</x:v>
      </x:c>
      <x:c r="L19" s="9" t="n">
        <x:f>AVERAGE((MAX('Raw Data'!B$2:B$22)-'Raw Data'!B19),(MAX('Raw Data'!C$2:C$22)-'Raw Data'!C19),(MAX('Raw Data'!D$2:D$22)-'Raw Data'!D19),(MAX('Raw Data'!E$2:E$22)-'Raw Data'!E19),(MAX('Raw Data'!F$2:F$22)-'Raw Data'!F19),(MAX('Raw Data'!G$2:G$22)-'Raw Data'!G19),(MAX('Raw Data'!H$2:H$22)-'Raw Data'!H19),(MAX('Raw Data'!I$2:I$22)-'Raw Data'!I19),(MAX('Raw Data'!J$2:J$22)-'Raw Data'!J19),(MAX('Raw Data'!K$2:K$22)-'Raw Data'!K19),(MAX('Raw Data'!L$2:L$22)-'Raw Data'!L19),(MAX('Raw Data'!M$2:M$22)-'Raw Data'!M19))</x:f>
        <x:v>0.15575</x:v>
      </x:c>
    </x:row>
    <x:row r="20">
      <x:c r="A20" s="10" t="str">
        <x:f>'Raw Data'!A20</x:f>
        <x:v>merged_nm</x:v>
      </x:c>
      <x:c r="B20" s="10" t="str">
        <x:f>'Raw Data'!N20</x:f>
        <x:v>Ukr/Cov-NM</x:v>
      </x:c>
      <x:c r="C20" s="10" t="str">
        <x:f>'Raw Data'!O20</x:f>
        <x:v>2 graphs (merged), 1 task</x:v>
      </x:c>
      <x:c r="D20" s="9" t="n">
        <x:f>AVERAGE('Raw Data'!B20,'Raw Data'!H20,'Raw Data'!L20)</x:f>
        <x:v>0.7766666666666667</x:v>
      </x:c>
      <x:c r="E20" s="9" t="n">
        <x:f>AVERAGE('Raw Data'!C20,'Raw Data'!D20,'Raw Data'!F20,'Raw Data'!I20,'Raw Data'!J20,'Raw Data'!M20)</x:f>
        <x:v>0.8545000000000001</x:v>
      </x:c>
      <x:c r="F20" s="9" t="n">
        <x:f>AVERAGE('Raw Data'!E20,'Raw Data'!G20,'Raw Data'!K20)</x:f>
        <x:v>0.605</x:v>
      </x:c>
      <x:c r="G20" s="9" t="n">
        <x:f>AVERAGE(D20:F20)</x:f>
        <x:v>0.7453888888888889</x:v>
      </x:c>
      <x:c r="H20" s="9" t="n">
        <x:f>AVERAGE('Raw Data'!B20:M20)</x:f>
        <x:v>0.7726666666666667</x:v>
      </x:c>
      <x:c r="I20" s="9" t="n">
        <x:f>MIN('Raw Data'!B20:M20)</x:f>
        <x:v>0.488</x:v>
      </x:c>
      <x:c r="J20" s="17" t="n">
        <x:f>AVERAGE(RANK.EQ('Raw Data'!B20,'Raw Data'!B$2:B$22,0),RANK.EQ('Raw Data'!C20,'Raw Data'!C$2:C$22,0),RANK.EQ('Raw Data'!D20,'Raw Data'!D$2:D$22,0),RANK.EQ('Raw Data'!E20,'Raw Data'!E$2:E$22,0),RANK.EQ('Raw Data'!F20,'Raw Data'!F$2:F$22,0),RANK.EQ('Raw Data'!G20,'Raw Data'!G$2:G$22,0),RANK.EQ('Raw Data'!H20,'Raw Data'!H$2:H$22,0),RANK.EQ('Raw Data'!I20,'Raw Data'!I$2:I$22,0),RANK.EQ('Raw Data'!J20,'Raw Data'!J$2:J$22,0),RANK.EQ('Raw Data'!K20,'Raw Data'!K$2:K$22,0),RANK.EQ('Raw Data'!L20,'Raw Data'!L$2:L$22,0),RANK.EQ('Raw Data'!M20,'Raw Data'!M$2:M$22,0))</x:f>
        <x:v>10.25</x:v>
      </x:c>
      <x:c r="K20" s="18" t="n">
        <x:f>SUM(--('Raw Data'!B20=MAX('Raw Data'!B$2:B$22)),--('Raw Data'!C20=MAX('Raw Data'!C$2:C$22)),--('Raw Data'!D20=MAX('Raw Data'!D$2:D$22)),--('Raw Data'!E20=MAX('Raw Data'!E$2:E$22)),--('Raw Data'!F20=MAX('Raw Data'!F$2:F$22)),--('Raw Data'!G20=MAX('Raw Data'!G$2:G$22)),--('Raw Data'!H20=MAX('Raw Data'!H$2:H$22)),--('Raw Data'!I20=MAX('Raw Data'!I$2:I$22)),--('Raw Data'!J20=MAX('Raw Data'!J$2:J$22)),--('Raw Data'!K20=MAX('Raw Data'!K$2:K$22)),--('Raw Data'!L20=MAX('Raw Data'!L$2:L$22)),--('Raw Data'!M20=MAX('Raw Data'!M$2:M$22)))</x:f>
        <x:v>0</x:v>
      </x:c>
      <x:c r="L20" s="9" t="n">
        <x:f>AVERAGE((MAX('Raw Data'!B$2:B$22)-'Raw Data'!B20),(MAX('Raw Data'!C$2:C$22)-'Raw Data'!C20),(MAX('Raw Data'!D$2:D$22)-'Raw Data'!D20),(MAX('Raw Data'!E$2:E$22)-'Raw Data'!E20),(MAX('Raw Data'!F$2:F$22)-'Raw Data'!F20),(MAX('Raw Data'!G$2:G$22)-'Raw Data'!G20),(MAX('Raw Data'!H$2:H$22)-'Raw Data'!H20),(MAX('Raw Data'!I$2:I$22)-'Raw Data'!I20),(MAX('Raw Data'!J$2:J$22)-'Raw Data'!J20),(MAX('Raw Data'!K$2:K$22)-'Raw Data'!K20),(MAX('Raw Data'!L$2:L$22)-'Raw Data'!L20),(MAX('Raw Data'!M$2:M$22)-'Raw Data'!M20))</x:f>
        <x:v>0.12250000000000005</x:v>
      </x:c>
    </x:row>
    <x:row r="21">
      <x:c r="A21" s="10" t="str">
        <x:f>'Raw Data'!A21</x:f>
        <x:v>merged_lp</x:v>
      </x:c>
      <x:c r="B21" s="10" t="str">
        <x:f>'Raw Data'!N21</x:f>
        <x:v>Ukr/Cov-LP</x:v>
      </x:c>
      <x:c r="C21" s="10" t="str">
        <x:f>'Raw Data'!O21</x:f>
        <x:v>2 graphs (merged), 1 task</x:v>
      </x:c>
      <x:c r="D21" s="9" t="n">
        <x:f>AVERAGE('Raw Data'!B21,'Raw Data'!H21,'Raw Data'!L21)</x:f>
        <x:v>0.7693333333333333</x:v>
      </x:c>
      <x:c r="E21" s="9" t="n">
        <x:f>AVERAGE('Raw Data'!C21,'Raw Data'!D21,'Raw Data'!F21,'Raw Data'!I21,'Raw Data'!J21,'Raw Data'!M21)</x:f>
        <x:v>0.7405</x:v>
      </x:c>
      <x:c r="F21" s="9" t="n">
        <x:f>AVERAGE('Raw Data'!E21,'Raw Data'!G21,'Raw Data'!K21)</x:f>
        <x:v>0.5276666666666667</x:v>
      </x:c>
      <x:c r="G21" s="9" t="n">
        <x:f>AVERAGE(D21:F21)</x:f>
        <x:v>0.6791666666666667</x:v>
      </x:c>
      <x:c r="H21" s="9" t="n">
        <x:f>AVERAGE('Raw Data'!B21:M21)</x:f>
        <x:v>0.6945</x:v>
      </x:c>
      <x:c r="I21" s="9" t="n">
        <x:f>MIN('Raw Data'!B21:M21)</x:f>
        <x:v>0.511</x:v>
      </x:c>
      <x:c r="J21" s="17" t="n">
        <x:f>AVERAGE(RANK.EQ('Raw Data'!B21,'Raw Data'!B$2:B$22,0),RANK.EQ('Raw Data'!C21,'Raw Data'!C$2:C$22,0),RANK.EQ('Raw Data'!D21,'Raw Data'!D$2:D$22,0),RANK.EQ('Raw Data'!E21,'Raw Data'!E$2:E$22,0),RANK.EQ('Raw Data'!F21,'Raw Data'!F$2:F$22,0),RANK.EQ('Raw Data'!G21,'Raw Data'!G$2:G$22,0),RANK.EQ('Raw Data'!H21,'Raw Data'!H$2:H$22,0),RANK.EQ('Raw Data'!I21,'Raw Data'!I$2:I$22,0),RANK.EQ('Raw Data'!J21,'Raw Data'!J$2:J$22,0),RANK.EQ('Raw Data'!K21,'Raw Data'!K$2:K$22,0),RANK.EQ('Raw Data'!L21,'Raw Data'!L$2:L$22,0),RANK.EQ('Raw Data'!M21,'Raw Data'!M$2:M$22,0))</x:f>
        <x:v>15.583333333333334</x:v>
      </x:c>
      <x:c r="K21" s="18" t="n">
        <x:f>SUM(--('Raw Data'!B21=MAX('Raw Data'!B$2:B$22)),--('Raw Data'!C21=MAX('Raw Data'!C$2:C$22)),--('Raw Data'!D21=MAX('Raw Data'!D$2:D$22)),--('Raw Data'!E21=MAX('Raw Data'!E$2:E$22)),--('Raw Data'!F21=MAX('Raw Data'!F$2:F$22)),--('Raw Data'!G21=MAX('Raw Data'!G$2:G$22)),--('Raw Data'!H21=MAX('Raw Data'!H$2:H$22)),--('Raw Data'!I21=MAX('Raw Data'!I$2:I$22)),--('Raw Data'!J21=MAX('Raw Data'!J$2:J$22)),--('Raw Data'!K21=MAX('Raw Data'!K$2:K$22)),--('Raw Data'!L21=MAX('Raw Data'!L$2:L$22)),--('Raw Data'!M21=MAX('Raw Data'!M$2:M$22)))</x:f>
        <x:v>0</x:v>
      </x:c>
      <x:c r="L21" s="9" t="n">
        <x:f>AVERAGE((MAX('Raw Data'!B$2:B$22)-'Raw Data'!B21),(MAX('Raw Data'!C$2:C$22)-'Raw Data'!C21),(MAX('Raw Data'!D$2:D$22)-'Raw Data'!D21),(MAX('Raw Data'!E$2:E$22)-'Raw Data'!E21),(MAX('Raw Data'!F$2:F$22)-'Raw Data'!F21),(MAX('Raw Data'!G$2:G$22)-'Raw Data'!G21),(MAX('Raw Data'!H$2:H$22)-'Raw Data'!H21),(MAX('Raw Data'!I$2:I$22)-'Raw Data'!I21),(MAX('Raw Data'!J$2:J$22)-'Raw Data'!J21),(MAX('Raw Data'!K$2:K$22)-'Raw Data'!K21),(MAX('Raw Data'!L$2:L$22)-'Raw Data'!L21),(MAX('Raw Data'!M$2:M$22)-'Raw Data'!M21))</x:f>
        <x:v>0.20066666666666663</x:v>
      </x:c>
    </x:row>
    <x:row r="22">
      <x:c r="A22" s="19" t="str">
        <x:f>'Raw Data'!A22</x:f>
        <x:v>merged_ukr_covid_midterm_aug_10k</x:v>
      </x:c>
      <x:c r="B22" s="19" t="str">
        <x:f>'Raw Data'!N22</x:f>
        <x:v>NM/FM-Ukr/Cov/Mid-10k</x:v>
      </x:c>
      <x:c r="C22" s="19" t="str">
        <x:f>'Raw Data'!O22</x:f>
        <x:v>3 graphs (merged), 2 tasks (joint)</x:v>
      </x:c>
      <x:c r="D22" s="20" t="n">
        <x:f>AVERAGE('Raw Data'!B22,'Raw Data'!H22,'Raw Data'!L22)</x:f>
        <x:v>0.7690000000000001</x:v>
      </x:c>
      <x:c r="E22" s="20" t="n">
        <x:f>AVERAGE('Raw Data'!C22,'Raw Data'!D22,'Raw Data'!F22,'Raw Data'!I22,'Raw Data'!J22,'Raw Data'!M22)</x:f>
        <x:v>0.9021666666666667</x:v>
      </x:c>
      <x:c r="F22" s="20" t="n">
        <x:f>AVERAGE('Raw Data'!E22,'Raw Data'!G22,'Raw Data'!K22)</x:f>
        <x:v>0.7949999999999999</x:v>
      </x:c>
      <x:c r="G22" s="20" t="n">
        <x:f>AVERAGE(D22:F22)</x:f>
        <x:v>0.8220555555555555</x:v>
      </x:c>
      <x:c r="H22" s="20" t="n">
        <x:f>AVERAGE('Raw Data'!B22:M22)</x:f>
        <x:v>0.8420833333333334</x:v>
      </x:c>
      <x:c r="I22" s="20" t="n">
        <x:f>MIN('Raw Data'!B22:M22)</x:f>
        <x:v>0.537</x:v>
      </x:c>
      <x:c r="J22" s="21" t="n">
        <x:f>AVERAGE(RANK.EQ('Raw Data'!B22,'Raw Data'!B$2:B$22,0),RANK.EQ('Raw Data'!C22,'Raw Data'!C$2:C$22,0),RANK.EQ('Raw Data'!D22,'Raw Data'!D$2:D$22,0),RANK.EQ('Raw Data'!E22,'Raw Data'!E$2:E$22,0),RANK.EQ('Raw Data'!F22,'Raw Data'!F$2:F$22,0),RANK.EQ('Raw Data'!G22,'Raw Data'!G$2:G$22,0),RANK.EQ('Raw Data'!H22,'Raw Data'!H$2:H$22,0),RANK.EQ('Raw Data'!I22,'Raw Data'!I$2:I$22,0),RANK.EQ('Raw Data'!J22,'Raw Data'!J$2:J$22,0),RANK.EQ('Raw Data'!K22,'Raw Data'!K$2:K$22,0),RANK.EQ('Raw Data'!L22,'Raw Data'!L$2:L$22,0),RANK.EQ('Raw Data'!M22,'Raw Data'!M$2:M$22,0))</x:f>
        <x:v>6</x:v>
      </x:c>
      <x:c r="K22" s="22" t="n">
        <x:f>SUM(--('Raw Data'!B22=MAX('Raw Data'!B$2:B$22)),--('Raw Data'!C22=MAX('Raw Data'!C$2:C$22)),--('Raw Data'!D22=MAX('Raw Data'!D$2:D$22)),--('Raw Data'!E22=MAX('Raw Data'!E$2:E$22)),--('Raw Data'!F22=MAX('Raw Data'!F$2:F$22)),--('Raw Data'!G22=MAX('Raw Data'!G$2:G$22)),--('Raw Data'!H22=MAX('Raw Data'!H$2:H$22)),--('Raw Data'!I22=MAX('Raw Data'!I$2:I$22)),--('Raw Data'!J22=MAX('Raw Data'!J$2:J$22)),--('Raw Data'!K22=MAX('Raw Data'!K$2:K$22)),--('Raw Data'!L22=MAX('Raw Data'!L$2:L$22)),--('Raw Data'!M22=MAX('Raw Data'!M$2:M$22)))</x:f>
        <x:v>5</x:v>
      </x:c>
      <x:c r="L22" s="20" t="n">
        <x:f>AVERAGE((MAX('Raw Data'!B$2:B$22)-'Raw Data'!B22),(MAX('Raw Data'!C$2:C$22)-'Raw Data'!C22),(MAX('Raw Data'!D$2:D$22)-'Raw Data'!D22),(MAX('Raw Data'!E$2:E$22)-'Raw Data'!E22),(MAX('Raw Data'!F$2:F$22)-'Raw Data'!F22),(MAX('Raw Data'!G$2:G$22)-'Raw Data'!G22),(MAX('Raw Data'!H$2:H$22)-'Raw Data'!H22),(MAX('Raw Data'!I$2:I$22)-'Raw Data'!I22),(MAX('Raw Data'!J$2:J$22)-'Raw Data'!J22),(MAX('Raw Data'!K$2:K$22)-'Raw Data'!K22),(MAX('Raw Data'!L$2:L$22)-'Raw Data'!L22),(MAX('Raw Data'!M$2:M$22)-'Raw Data'!M22))</x:f>
        <x:v>0.05308333333333332</x:v>
      </x:c>
    </x:row>
  </x:sheetData>
  <x:conditionalFormatting sqref="G2:G22">
    <x:cfRule type="dataBar" priority="1">
      <x:dataBar>
        <x:cfvo type="min"/>
        <x:cfvo type="max"/>
        <x:color rgb="FF2F6B9A"/>
      </x:dataBar>
      <x:extLst>
        <x:ext xmlns:x14="http://schemas.microsoft.com/office/spreadsheetml/2009/9/main" uri="{B025F937-C7B1-47D3-B67F-A62EFF666E3E}">
          <x14:id>{A32D42EB-41E5-BEDB-E308-B92346B8F858}</x14:id>
        </x:ext>
      </x:extLst>
    </x:cfRule>
  </x:conditionalFormatting>
  <x:conditionalFormatting sqref="J2:J22">
    <x:cfRule type="colorScale" priority="2">
      <x:colorScale>
        <x:cfvo type="min"/>
        <x:cfvo type="percentile" val="50"/>
        <x:cfvo type="max"/>
        <x:color rgb="FFDFF3EA"/>
        <x:color rgb="FFFFF4CC"/>
        <x:color rgb="FFFDECEC"/>
      </x:colorScale>
    </x:cfRule>
  </x:conditionalFormatting>
  <x:conditionalFormatting sqref="K2:K22">
    <x:cfRule type="dataBar" priority="3">
      <x:dataBar>
        <x:cfvo type="min"/>
        <x:cfvo type="max"/>
        <x:color rgb="FF2A9D8F"/>
      </x:dataBar>
      <x:extLst>
        <x:ext xmlns:x14="http://schemas.microsoft.com/office/spreadsheetml/2009/9/main" uri="{B025F937-C7B1-47D3-B67F-A62EFF666E3E}">
          <x14:id>{11A607D5-16DA-2064-DFA4-1DE4CC9706FB}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8934ed13efd4b2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32D42EB-41E5-BEDB-E308-B92346B8F858}">
            <x14:dataBar gradient="1">
              <x14:cfvo type="min"/>
              <x14:cfvo type="max"/>
              <x14:fillColor rgb="FF2F6B9A"/>
            </x14:dataBar>
          </x14:cfRule>
          <xm:sqref>G2:G22</xm:sqref>
        </x14:conditionalFormatting>
        <x14:conditionalFormatting>
          <x14:cfRule type="dataBar" priority="3" id="{11A607D5-16DA-2064-DFA4-1DE4CC9706FB}">
            <x14:dataBar gradient="1">
              <x14:cfvo type="min"/>
              <x14:cfvo type="max"/>
              <x14:fillColor rgb="FF2A9D8F"/>
            </x14:dataBar>
          </x14:cfRule>
          <xm:sqref>K2:K22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2" hidden="0" customWidth="1"/>
    <x:col min="15" max="15" width="12" hidden="0" customWidth="1"/>
  </x:cols>
  <x:sheetData>
    <x:row r="1">
      <x:c r="A1" s="139" t="str">
        <x:v>Full Test-Suite Heatmap (sorted by balanced score)</x:v>
      </x:c>
      <x:c r="B1" s="139"/>
      <x:c r="C1" s="139"/>
      <x:c r="D1" s="139"/>
      <x:c r="E1" s="139"/>
      <x:c r="F1" s="139"/>
      <x:c r="G1" s="139"/>
      <x:c r="H1" s="139"/>
      <x:c r="I1" s="139"/>
      <x:c r="J1" s="139"/>
      <x:c r="K1" s="139"/>
      <x:c r="L1" s="139"/>
      <x:c r="M1" s="139"/>
      <x:c r="N1" s="139"/>
      <x:c r="O1" s="139"/>
    </x:row>
    <x:row r="2">
      <x:c r="A2" s="139"/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  <x:c r="O2" s="139"/>
    </x:row>
    <x:row r="3" ht="45" customHeight="1">
      <x:c r="A3" s="144" t="str">
        <x:v>train_id</x:v>
      </x:c>
      <x:c r="B3" s="144" t="str">
        <x:v>covid19_twitter+lp</x:v>
      </x:c>
      <x:c r="C3" s="144" t="str">
        <x:v>covid19_twitter+nm</x:v>
      </x:c>
      <x:c r="D3" s="144" t="str">
        <x:v>covid_political+nm</x:v>
      </x:c>
      <x:c r="E3" s="144" t="str">
        <x:v>covid_political+pl</x:v>
      </x:c>
      <x:c r="F3" s="144" t="str">
        <x:v>election2020+nm</x:v>
      </x:c>
      <x:c r="G3" s="144" t="str">
        <x:v>election2020+pl</x:v>
      </x:c>
      <x:c r="H3" s="144" t="str">
        <x:v>midterm+lp</x:v>
      </x:c>
      <x:c r="I3" s="144" t="str">
        <x:v>midterm+nm</x:v>
      </x:c>
      <x:c r="J3" s="144" t="str">
        <x:v>ukr_rus_suspended+nm</x:v>
      </x:c>
      <x:c r="K3" s="144" t="str">
        <x:v>ukr_rus_suspended+pl</x:v>
      </x:c>
      <x:c r="L3" s="144" t="str">
        <x:v>ukr_rus_twitter+lp</x:v>
      </x:c>
      <x:c r="M3" s="144" t="str">
        <x:v>ukr_rus_twitter+nm</x:v>
      </x:c>
      <x:c r="N3" s="144" t="str">
        <x:v>Balanced</x:v>
      </x:c>
      <x:c r="O3" s="144" t="str">
        <x:v>Mean rank</x:v>
      </x:c>
    </x:row>
    <x:row r="4">
      <x:c r="A4" s="10" t="str">
        <x:f>'Raw Data'!A15</x:f>
        <x:v>midterm+nm&gt;covid19_twitter+nm</x:v>
      </x:c>
      <x:c r="B4" s="9" t="n">
        <x:f>'Raw Data'!B15</x:f>
        <x:v>0.868</x:v>
      </x:c>
      <x:c r="C4" s="9" t="n">
        <x:f>'Raw Data'!C15</x:f>
        <x:v>0.997</x:v>
      </x:c>
      <x:c r="D4" s="9" t="n">
        <x:f>'Raw Data'!D15</x:f>
        <x:v>0.826</x:v>
      </x:c>
      <x:c r="E4" s="9" t="n">
        <x:f>'Raw Data'!E15</x:f>
        <x:v>0.772</x:v>
      </x:c>
      <x:c r="F4" s="9" t="n">
        <x:f>'Raw Data'!F15</x:f>
        <x:v>0.82</x:v>
      </x:c>
      <x:c r="G4" s="9" t="n">
        <x:f>'Raw Data'!G15</x:f>
        <x:v>0.95</x:v>
      </x:c>
      <x:c r="H4" s="9" t="n">
        <x:f>'Raw Data'!H15</x:f>
        <x:v>0.806</x:v>
      </x:c>
      <x:c r="I4" s="9" t="n">
        <x:f>'Raw Data'!I15</x:f>
        <x:v>0.968</x:v>
      </x:c>
      <x:c r="J4" s="9" t="n">
        <x:f>'Raw Data'!J15</x:f>
        <x:v>0.794</x:v>
      </x:c>
      <x:c r="K4" s="9" t="n">
        <x:f>'Raw Data'!K15</x:f>
        <x:v>0.515</x:v>
      </x:c>
      <x:c r="L4" s="9" t="n">
        <x:f>'Raw Data'!L15</x:f>
        <x:v>0.798</x:v>
      </x:c>
      <x:c r="M4" s="9" t="n">
        <x:f>'Raw Data'!M15</x:f>
        <x:v>0.978</x:v>
      </x:c>
      <x:c r="N4" s="9" t="n">
        <x:f>'Metrics'!G15</x:f>
        <x:v>0.8222777777777778</x:v>
      </x:c>
      <x:c r="O4" s="17" t="n">
        <x:f>'Metrics'!J15</x:f>
        <x:v>4.5</x:v>
      </x:c>
    </x:row>
    <x:row r="5">
      <x:c r="A5" s="10" t="str">
        <x:f>'Raw Data'!A22</x:f>
        <x:v>merged_ukr_covid_midterm_aug_10k</x:v>
      </x:c>
      <x:c r="B5" s="9" t="n">
        <x:f>'Raw Data'!B22</x:f>
        <x:v>0.781</x:v>
      </x:c>
      <x:c r="C5" s="9" t="n">
        <x:f>'Raw Data'!C22</x:f>
        <x:v>0.987</x:v>
      </x:c>
      <x:c r="D5" s="9" t="n">
        <x:f>'Raw Data'!D22</x:f>
        <x:v>0.886</x:v>
      </x:c>
      <x:c r="E5" s="9" t="n">
        <x:f>'Raw Data'!E22</x:f>
        <x:v>0.871</x:v>
      </x:c>
      <x:c r="F5" s="9" t="n">
        <x:f>'Raw Data'!F22</x:f>
        <x:v>0.871</x:v>
      </x:c>
      <x:c r="G5" s="9" t="n">
        <x:f>'Raw Data'!G22</x:f>
        <x:v>0.977</x:v>
      </x:c>
      <x:c r="H5" s="9" t="n">
        <x:f>'Raw Data'!H22</x:f>
        <x:v>0.718</x:v>
      </x:c>
      <x:c r="I5" s="9" t="n">
        <x:f>'Raw Data'!I22</x:f>
        <x:v>0.913</x:v>
      </x:c>
      <x:c r="J5" s="9" t="n">
        <x:f>'Raw Data'!J22</x:f>
        <x:v>0.811</x:v>
      </x:c>
      <x:c r="K5" s="9" t="n">
        <x:f>'Raw Data'!K22</x:f>
        <x:v>0.537</x:v>
      </x:c>
      <x:c r="L5" s="9" t="n">
        <x:f>'Raw Data'!L22</x:f>
        <x:v>0.808</x:v>
      </x:c>
      <x:c r="M5" s="9" t="n">
        <x:f>'Raw Data'!M22</x:f>
        <x:v>0.945</x:v>
      </x:c>
      <x:c r="N5" s="9" t="n">
        <x:f>'Metrics'!G22</x:f>
        <x:v>0.8220555555555555</x:v>
      </x:c>
      <x:c r="O5" s="17" t="n">
        <x:f>'Metrics'!J22</x:f>
        <x:v>6</x:v>
      </x:c>
    </x:row>
    <x:row r="6">
      <x:c r="A6" s="10" t="str">
        <x:f>'Raw Data'!A2</x:f>
        <x:v>covid19_twitter+nm</x:v>
      </x:c>
      <x:c r="B6" s="9" t="n">
        <x:f>'Raw Data'!B2</x:f>
        <x:v>0.908</x:v>
      </x:c>
      <x:c r="C6" s="9" t="n">
        <x:f>'Raw Data'!C2</x:f>
        <x:v>0.998</x:v>
      </x:c>
      <x:c r="D6" s="9" t="n">
        <x:f>'Raw Data'!D2</x:f>
        <x:v>0.738</x:v>
      </x:c>
      <x:c r="E6" s="9" t="n">
        <x:f>'Raw Data'!E2</x:f>
        <x:v>0.674</x:v>
      </x:c>
      <x:c r="F6" s="9" t="n">
        <x:f>'Raw Data'!F2</x:f>
        <x:v>0.757</x:v>
      </x:c>
      <x:c r="G6" s="9" t="n">
        <x:f>'Raw Data'!G2</x:f>
        <x:v>0.9</x:v>
      </x:c>
      <x:c r="H6" s="9" t="n">
        <x:f>'Raw Data'!H2</x:f>
        <x:v>0.849</x:v>
      </x:c>
      <x:c r="I6" s="9" t="n">
        <x:f>'Raw Data'!I2</x:f>
        <x:v>0.971</x:v>
      </x:c>
      <x:c r="J6" s="9" t="n">
        <x:f>'Raw Data'!J2</x:f>
        <x:v>0.802</x:v>
      </x:c>
      <x:c r="K6" s="9" t="n">
        <x:f>'Raw Data'!K2</x:f>
        <x:v>0.51</x:v>
      </x:c>
      <x:c r="L6" s="9" t="n">
        <x:f>'Raw Data'!L2</x:f>
        <x:v>0.842</x:v>
      </x:c>
      <x:c r="M6" s="9" t="n">
        <x:f>'Raw Data'!M2</x:f>
        <x:v>0.986</x:v>
      </x:c>
      <x:c r="N6" s="9" t="n">
        <x:f>'Metrics'!G2</x:f>
        <x:v>0.8121111111111111</x:v>
      </x:c>
      <x:c r="O6" s="17" t="n">
        <x:f>'Metrics'!J2</x:f>
        <x:v>4.25</x:v>
      </x:c>
    </x:row>
    <x:row r="7">
      <x:c r="A7" s="10" t="str">
        <x:f>'Raw Data'!A4</x:f>
        <x:v>ukr_rus_twitter+nm</x:v>
      </x:c>
      <x:c r="B7" s="9" t="n">
        <x:f>'Raw Data'!B4</x:f>
        <x:v>0.843</x:v>
      </x:c>
      <x:c r="C7" s="9" t="n">
        <x:f>'Raw Data'!C4</x:f>
        <x:v>0.991</x:v>
      </x:c>
      <x:c r="D7" s="9" t="n">
        <x:f>'Raw Data'!D4</x:f>
        <x:v>0.73</x:v>
      </x:c>
      <x:c r="E7" s="9" t="n">
        <x:f>'Raw Data'!E4</x:f>
        <x:v>0.693</x:v>
      </x:c>
      <x:c r="F7" s="9" t="n">
        <x:f>'Raw Data'!F4</x:f>
        <x:v>0.738</x:v>
      </x:c>
      <x:c r="G7" s="9" t="n">
        <x:f>'Raw Data'!G4</x:f>
        <x:v>0.904</x:v>
      </x:c>
      <x:c r="H7" s="9" t="n">
        <x:f>'Raw Data'!H4</x:f>
        <x:v>0.713</x:v>
      </x:c>
      <x:c r="I7" s="9" t="n">
        <x:f>'Raw Data'!I4</x:f>
        <x:v>0.956</x:v>
      </x:c>
      <x:c r="J7" s="9" t="n">
        <x:f>'Raw Data'!J4</x:f>
        <x:v>0.754</x:v>
      </x:c>
      <x:c r="K7" s="9" t="n">
        <x:f>'Raw Data'!K4</x:f>
        <x:v>0.507</x:v>
      </x:c>
      <x:c r="L7" s="9" t="n">
        <x:f>'Raw Data'!L4</x:f>
        <x:v>0.826</x:v>
      </x:c>
      <x:c r="M7" s="9" t="n">
        <x:f>'Raw Data'!M4</x:f>
        <x:v>0.992</x:v>
      </x:c>
      <x:c r="N7" s="9" t="n">
        <x:f>'Metrics'!G4</x:f>
        <x:v>0.7851666666666667</x:v>
      </x:c>
      <x:c r="O7" s="17" t="n">
        <x:f>'Metrics'!J4</x:f>
        <x:v>6.5</x:v>
      </x:c>
    </x:row>
    <x:row r="8">
      <x:c r="A8" s="10" t="str">
        <x:f>'Raw Data'!A16</x:f>
        <x:v>midterm+nm&gt;ukr_rus_twitter+nm</x:v>
      </x:c>
      <x:c r="B8" s="9" t="n">
        <x:f>'Raw Data'!B16</x:f>
        <x:v>0.821</x:v>
      </x:c>
      <x:c r="C8" s="9" t="n">
        <x:f>'Raw Data'!C16</x:f>
        <x:v>0.985</x:v>
      </x:c>
      <x:c r="D8" s="9" t="n">
        <x:f>'Raw Data'!D16</x:f>
        <x:v>0.721</x:v>
      </x:c>
      <x:c r="E8" s="9" t="n">
        <x:f>'Raw Data'!E16</x:f>
        <x:v>0.667</x:v>
      </x:c>
      <x:c r="F8" s="9" t="n">
        <x:f>'Raw Data'!F16</x:f>
        <x:v>0.712</x:v>
      </x:c>
      <x:c r="G8" s="9" t="n">
        <x:f>'Raw Data'!G16</x:f>
        <x:v>0.877</x:v>
      </x:c>
      <x:c r="H8" s="9" t="n">
        <x:f>'Raw Data'!H16</x:f>
        <x:v>0.805</x:v>
      </x:c>
      <x:c r="I8" s="9" t="n">
        <x:f>'Raw Data'!I16</x:f>
        <x:v>0.949</x:v>
      </x:c>
      <x:c r="J8" s="9" t="n">
        <x:f>'Raw Data'!J16</x:f>
        <x:v>0.736</x:v>
      </x:c>
      <x:c r="K8" s="9" t="n">
        <x:f>'Raw Data'!K16</x:f>
        <x:v>0.503</x:v>
      </x:c>
      <x:c r="L8" s="9" t="n">
        <x:f>'Raw Data'!L16</x:f>
        <x:v>0.797</x:v>
      </x:c>
      <x:c r="M8" s="9" t="n">
        <x:f>'Raw Data'!M16</x:f>
        <x:v>0.988</x:v>
      </x:c>
      <x:c r="N8" s="9" t="n">
        <x:f>'Metrics'!G16</x:f>
        <x:v>0.7795</x:v>
      </x:c>
      <x:c r="O8" s="17" t="n">
        <x:f>'Metrics'!J16</x:f>
        <x:v>8.166666666666666</x:v>
      </x:c>
    </x:row>
    <x:row r="9">
      <x:c r="A9" s="10" t="str">
        <x:f>'Raw Data'!A3</x:f>
        <x:v>midterm+nm</x:v>
      </x:c>
      <x:c r="B9" s="9" t="n">
        <x:f>'Raw Data'!B3</x:f>
        <x:v>0.769</x:v>
      </x:c>
      <x:c r="C9" s="9" t="n">
        <x:f>'Raw Data'!C3</x:f>
        <x:v>0.988</x:v>
      </x:c>
      <x:c r="D9" s="9" t="n">
        <x:f>'Raw Data'!D3</x:f>
        <x:v>0.746</x:v>
      </x:c>
      <x:c r="E9" s="9" t="n">
        <x:f>'Raw Data'!E3</x:f>
        <x:v>0.649</x:v>
      </x:c>
      <x:c r="F9" s="9" t="n">
        <x:f>'Raw Data'!F3</x:f>
        <x:v>0.733</x:v>
      </x:c>
      <x:c r="G9" s="9" t="n">
        <x:f>'Raw Data'!G3</x:f>
        <x:v>0.749</x:v>
      </x:c>
      <x:c r="H9" s="9" t="n">
        <x:f>'Raw Data'!H3</x:f>
        <x:v>0.836</x:v>
      </x:c>
      <x:c r="I9" s="9" t="n">
        <x:f>'Raw Data'!I3</x:f>
        <x:v>0.982</x:v>
      </x:c>
      <x:c r="J9" s="9" t="n">
        <x:f>'Raw Data'!J3</x:f>
        <x:v>0.729</x:v>
      </x:c>
      <x:c r="K9" s="9" t="n">
        <x:f>'Raw Data'!K3</x:f>
        <x:v>0.505</x:v>
      </x:c>
      <x:c r="L9" s="9" t="n">
        <x:f>'Raw Data'!L3</x:f>
        <x:v>0.698</x:v>
      </x:c>
      <x:c r="M9" s="9" t="n">
        <x:f>'Raw Data'!M3</x:f>
        <x:v>0.979</x:v>
      </x:c>
      <x:c r="N9" s="9" t="n">
        <x:f>'Metrics'!G3</x:f>
        <x:v>0.7538333333333332</x:v>
      </x:c>
      <x:c r="O9" s="17" t="n">
        <x:f>'Metrics'!J3</x:f>
        <x:v>7.583333333333333</x:v>
      </x:c>
    </x:row>
    <x:row r="10">
      <x:c r="A10" s="10" t="str">
        <x:f>'Raw Data'!A8</x:f>
        <x:v>covid19_twitter+lp</x:v>
      </x:c>
      <x:c r="B10" s="9" t="n">
        <x:f>'Raw Data'!B8</x:f>
        <x:v>0.955</x:v>
      </x:c>
      <x:c r="C10" s="9" t="n">
        <x:f>'Raw Data'!C8</x:f>
        <x:v>0.945</x:v>
      </x:c>
      <x:c r="D10" s="9" t="n">
        <x:f>'Raw Data'!D8</x:f>
        <x:v>0.619</x:v>
      </x:c>
      <x:c r="E10" s="9" t="n">
        <x:f>'Raw Data'!E8</x:f>
        <x:v>0.623</x:v>
      </x:c>
      <x:c r="F10" s="9" t="n">
        <x:f>'Raw Data'!F8</x:f>
        <x:v>0.654</x:v>
      </x:c>
      <x:c r="G10" s="9" t="n">
        <x:f>'Raw Data'!G8</x:f>
        <x:v>0.737</x:v>
      </x:c>
      <x:c r="H10" s="9" t="n">
        <x:f>'Raw Data'!H8</x:f>
        <x:v>0.784</x:v>
      </x:c>
      <x:c r="I10" s="9" t="n">
        <x:f>'Raw Data'!I8</x:f>
        <x:v>0.834</x:v>
      </x:c>
      <x:c r="J10" s="9" t="n">
        <x:f>'Raw Data'!J8</x:f>
        <x:v>0.681</x:v>
      </x:c>
      <x:c r="K10" s="9" t="n">
        <x:f>'Raw Data'!K8</x:f>
        <x:v>0.504</x:v>
      </x:c>
      <x:c r="L10" s="9" t="n">
        <x:f>'Raw Data'!L8</x:f>
        <x:v>0.855</x:v>
      </x:c>
      <x:c r="M10" s="9" t="n">
        <x:f>'Raw Data'!M8</x:f>
        <x:v>0.888</x:v>
      </x:c>
      <x:c r="N10" s="9" t="n">
        <x:f>'Metrics'!G8</x:f>
        <x:v>0.7520555555555556</x:v>
      </x:c>
      <x:c r="O10" s="17" t="n">
        <x:f>'Metrics'!J8</x:f>
        <x:v>10.833333333333334</x:v>
      </x:c>
    </x:row>
    <x:row r="11">
      <x:c r="A11" s="10" t="str">
        <x:f>'Raw Data'!A10</x:f>
        <x:v>ukr_rus_twitter+lp</x:v>
      </x:c>
      <x:c r="B11" s="9" t="n">
        <x:f>'Raw Data'!B10</x:f>
        <x:v>0.857</x:v>
      </x:c>
      <x:c r="C11" s="9" t="n">
        <x:f>'Raw Data'!C10</x:f>
        <x:v>0.92</x:v>
      </x:c>
      <x:c r="D11" s="9" t="n">
        <x:f>'Raw Data'!D10</x:f>
        <x:v>0.611</x:v>
      </x:c>
      <x:c r="E11" s="9" t="n">
        <x:f>'Raw Data'!E10</x:f>
        <x:v>0.589</x:v>
      </x:c>
      <x:c r="F11" s="9" t="n">
        <x:f>'Raw Data'!F10</x:f>
        <x:v>0.677</x:v>
      </x:c>
      <x:c r="G11" s="9" t="n">
        <x:f>'Raw Data'!G10</x:f>
        <x:v>0.742</x:v>
      </x:c>
      <x:c r="H11" s="9" t="n">
        <x:f>'Raw Data'!H10</x:f>
        <x:v>0.766</x:v>
      </x:c>
      <x:c r="I11" s="9" t="n">
        <x:f>'Raw Data'!I10</x:f>
        <x:v>0.869</x:v>
      </x:c>
      <x:c r="J11" s="9" t="n">
        <x:f>'Raw Data'!J10</x:f>
        <x:v>0.67</x:v>
      </x:c>
      <x:c r="K11" s="9" t="n">
        <x:f>'Raw Data'!K10</x:f>
        <x:v>0.519</x:v>
      </x:c>
      <x:c r="L11" s="9" t="n">
        <x:f>'Raw Data'!L10</x:f>
        <x:v>0.921</x:v>
      </x:c>
      <x:c r="M11" s="9" t="n">
        <x:f>'Raw Data'!M10</x:f>
        <x:v>0.953</x:v>
      </x:c>
      <x:c r="N11" s="9" t="n">
        <x:f>'Metrics'!G10</x:f>
        <x:v>0.7493333333333334</x:v>
      </x:c>
      <x:c r="O11" s="17" t="n">
        <x:f>'Metrics'!J10</x:f>
        <x:v>10.083333333333334</x:v>
      </x:c>
    </x:row>
    <x:row r="12">
      <x:c r="A12" s="10" t="str">
        <x:f>'Raw Data'!A13</x:f>
        <x:v>midterm+lp&gt;ukr_rus_twitter+lp</x:v>
      </x:c>
      <x:c r="B12" s="9" t="n">
        <x:f>'Raw Data'!B13</x:f>
        <x:v>0.868</x:v>
      </x:c>
      <x:c r="C12" s="9" t="n">
        <x:f>'Raw Data'!C13</x:f>
        <x:v>0.901</x:v>
      </x:c>
      <x:c r="D12" s="9" t="n">
        <x:f>'Raw Data'!D13</x:f>
        <x:v>0.585</x:v>
      </x:c>
      <x:c r="E12" s="9" t="n">
        <x:f>'Raw Data'!E13</x:f>
        <x:v>0.596</x:v>
      </x:c>
      <x:c r="F12" s="9" t="n">
        <x:f>'Raw Data'!F13</x:f>
        <x:v>0.671</x:v>
      </x:c>
      <x:c r="G12" s="9" t="n">
        <x:f>'Raw Data'!G13</x:f>
        <x:v>0.686</x:v>
      </x:c>
      <x:c r="H12" s="9" t="n">
        <x:f>'Raw Data'!H13</x:f>
        <x:v>0.815</x:v>
      </x:c>
      <x:c r="I12" s="9" t="n">
        <x:f>'Raw Data'!I13</x:f>
        <x:v>0.875</x:v>
      </x:c>
      <x:c r="J12" s="9" t="n">
        <x:f>'Raw Data'!J13</x:f>
        <x:v>0.678</x:v>
      </x:c>
      <x:c r="K12" s="9" t="n">
        <x:f>'Raw Data'!K13</x:f>
        <x:v>0.523</x:v>
      </x:c>
      <x:c r="L12" s="9" t="n">
        <x:f>'Raw Data'!L13</x:f>
        <x:v>0.907</x:v>
      </x:c>
      <x:c r="M12" s="9" t="n">
        <x:f>'Raw Data'!M13</x:f>
        <x:v>0.938</x:v>
      </x:c>
      <x:c r="N12" s="9" t="n">
        <x:f>'Metrics'!G13</x:f>
        <x:v>0.7465555555555555</x:v>
      </x:c>
      <x:c r="O12" s="17" t="n">
        <x:f>'Metrics'!J13</x:f>
        <x:v>10</x:v>
      </x:c>
    </x:row>
    <x:row r="13">
      <x:c r="A13" s="10" t="str">
        <x:f>'Raw Data'!A20</x:f>
        <x:v>merged_nm</x:v>
      </x:c>
      <x:c r="B13" s="9" t="n">
        <x:f>'Raw Data'!B20</x:f>
        <x:v>0.818</x:v>
      </x:c>
      <x:c r="C13" s="9" t="n">
        <x:f>'Raw Data'!C20</x:f>
        <x:v>0.99</x:v>
      </x:c>
      <x:c r="D13" s="9" t="n">
        <x:f>'Raw Data'!D20</x:f>
        <x:v>0.717</x:v>
      </x:c>
      <x:c r="E13" s="9" t="n">
        <x:f>'Raw Data'!E20</x:f>
        <x:v>0.597</x:v>
      </x:c>
      <x:c r="F13" s="9" t="n">
        <x:f>'Raw Data'!F20</x:f>
        <x:v>0.713</x:v>
      </x:c>
      <x:c r="G13" s="9" t="n">
        <x:f>'Raw Data'!G20</x:f>
        <x:v>0.73</x:v>
      </x:c>
      <x:c r="H13" s="9" t="n">
        <x:f>'Raw Data'!H20</x:f>
        <x:v>0.74</x:v>
      </x:c>
      <x:c r="I13" s="9" t="n">
        <x:f>'Raw Data'!I20</x:f>
        <x:v>0.942</x:v>
      </x:c>
      <x:c r="J13" s="9" t="n">
        <x:f>'Raw Data'!J20</x:f>
        <x:v>0.78</x:v>
      </x:c>
      <x:c r="K13" s="9" t="n">
        <x:f>'Raw Data'!K20</x:f>
        <x:v>0.488</x:v>
      </x:c>
      <x:c r="L13" s="9" t="n">
        <x:f>'Raw Data'!L20</x:f>
        <x:v>0.772</x:v>
      </x:c>
      <x:c r="M13" s="9" t="n">
        <x:f>'Raw Data'!M20</x:f>
        <x:v>0.985</x:v>
      </x:c>
      <x:c r="N13" s="9" t="n">
        <x:f>'Metrics'!G20</x:f>
        <x:v>0.7453888888888889</x:v>
      </x:c>
      <x:c r="O13" s="17" t="n">
        <x:f>'Metrics'!J20</x:f>
        <x:v>10.25</x:v>
      </x:c>
    </x:row>
    <x:row r="14">
      <x:c r="A14" s="10" t="str">
        <x:f>'Raw Data'!A11</x:f>
        <x:v>covid19_twitter+lp&gt;ukr_rus_twitter+lp</x:v>
      </x:c>
      <x:c r="B14" s="9" t="n">
        <x:f>'Raw Data'!B11</x:f>
        <x:v>0.913</x:v>
      </x:c>
      <x:c r="C14" s="9" t="n">
        <x:f>'Raw Data'!C11</x:f>
        <x:v>0.941</x:v>
      </x:c>
      <x:c r="D14" s="9" t="n">
        <x:f>'Raw Data'!D11</x:f>
        <x:v>0.561</x:v>
      </x:c>
      <x:c r="E14" s="9" t="n">
        <x:f>'Raw Data'!E11</x:f>
        <x:v>0.599</x:v>
      </x:c>
      <x:c r="F14" s="9" t="n">
        <x:f>'Raw Data'!F11</x:f>
        <x:v>0.543</x:v>
      </x:c>
      <x:c r="G14" s="9" t="n">
        <x:f>'Raw Data'!G11</x:f>
        <x:v>0.568</x:v>
      </x:c>
      <x:c r="H14" s="9" t="n">
        <x:f>'Raw Data'!H11</x:f>
        <x:v>0.81</x:v>
      </x:c>
      <x:c r="I14" s="9" t="n">
        <x:f>'Raw Data'!I11</x:f>
        <x:v>0.857</x:v>
      </x:c>
      <x:c r="J14" s="9" t="n">
        <x:f>'Raw Data'!J11</x:f>
        <x:v>0.658</x:v>
      </x:c>
      <x:c r="K14" s="9" t="n">
        <x:f>'Raw Data'!K11</x:f>
        <x:v>0.527</x:v>
      </x:c>
      <x:c r="L14" s="9" t="n">
        <x:f>'Raw Data'!L11</x:f>
        <x:v>0.916</x:v>
      </x:c>
      <x:c r="M14" s="9" t="n">
        <x:f>'Raw Data'!M11</x:f>
        <x:v>0.953</x:v>
      </x:c>
      <x:c r="N14" s="9" t="n">
        <x:f>'Metrics'!G11</x:f>
        <x:v>0.7321666666666666</x:v>
      </x:c>
      <x:c r="O14" s="17" t="n">
        <x:f>'Metrics'!J11</x:f>
        <x:v>10.5</x:v>
      </x:c>
    </x:row>
    <x:row r="15">
      <x:c r="A15" s="10" t="str">
        <x:f>'Raw Data'!A19</x:f>
        <x:v>midterm+nm&gt;ukr_rus_twitter+lp</x:v>
      </x:c>
      <x:c r="B15" s="9" t="n">
        <x:f>'Raw Data'!B19</x:f>
        <x:v>0.849</x:v>
      </x:c>
      <x:c r="C15" s="9" t="n">
        <x:f>'Raw Data'!C19</x:f>
        <x:v>0.935</x:v>
      </x:c>
      <x:c r="D15" s="9" t="n">
        <x:f>'Raw Data'!D19</x:f>
        <x:v>0.586</x:v>
      </x:c>
      <x:c r="E15" s="9" t="n">
        <x:f>'Raw Data'!E19</x:f>
        <x:v>0.618</x:v>
      </x:c>
      <x:c r="F15" s="9" t="n">
        <x:f>'Raw Data'!F19</x:f>
        <x:v>0.571</x:v>
      </x:c>
      <x:c r="G15" s="9" t="n">
        <x:f>'Raw Data'!G19</x:f>
        <x:v>0.631</x:v>
      </x:c>
      <x:c r="H15" s="9" t="n">
        <x:f>'Raw Data'!H19</x:f>
        <x:v>0.791</x:v>
      </x:c>
      <x:c r="I15" s="9" t="n">
        <x:f>'Raw Data'!I19</x:f>
        <x:v>0.872</x:v>
      </x:c>
      <x:c r="J15" s="9" t="n">
        <x:f>'Raw Data'!J19</x:f>
        <x:v>0.661</x:v>
      </x:c>
      <x:c r="K15" s="9" t="n">
        <x:f>'Raw Data'!K19</x:f>
        <x:v>0.504</x:v>
      </x:c>
      <x:c r="L15" s="9" t="n">
        <x:f>'Raw Data'!L19</x:f>
        <x:v>0.905</x:v>
      </x:c>
      <x:c r="M15" s="9" t="n">
        <x:f>'Raw Data'!M19</x:f>
        <x:v>0.95</x:v>
      </x:c>
      <x:c r="N15" s="9" t="n">
        <x:f>'Metrics'!G19</x:f>
        <x:v>0.731722222222222</x:v>
      </x:c>
      <x:c r="O15" s="17" t="n">
        <x:f>'Metrics'!J19</x:f>
        <x:v>11.583333333333334</x:v>
      </x:c>
    </x:row>
    <x:row r="16">
      <x:c r="A16" s="10" t="str">
        <x:f>'Raw Data'!A9</x:f>
        <x:v>midterm+lp</x:v>
      </x:c>
      <x:c r="B16" s="9" t="n">
        <x:f>'Raw Data'!B9</x:f>
        <x:v>0.605</x:v>
      </x:c>
      <x:c r="C16" s="9" t="n">
        <x:f>'Raw Data'!C9</x:f>
        <x:v>0.841</x:v>
      </x:c>
      <x:c r="D16" s="9" t="n">
        <x:f>'Raw Data'!D9</x:f>
        <x:v>0.708</x:v>
      </x:c>
      <x:c r="E16" s="9" t="n">
        <x:f>'Raw Data'!E9</x:f>
        <x:v>0.678</x:v>
      </x:c>
      <x:c r="F16" s="9" t="n">
        <x:f>'Raw Data'!F9</x:f>
        <x:v>0.73</x:v>
      </x:c>
      <x:c r="G16" s="9" t="n">
        <x:f>'Raw Data'!G9</x:f>
        <x:v>0.87</x:v>
      </x:c>
      <x:c r="H16" s="9" t="n">
        <x:f>'Raw Data'!H9</x:f>
        <x:v>0.939</x:v>
      </x:c>
      <x:c r="I16" s="9" t="n">
        <x:f>'Raw Data'!I9</x:f>
        <x:v>0.887</x:v>
      </x:c>
      <x:c r="J16" s="9" t="n">
        <x:f>'Raw Data'!J9</x:f>
        <x:v>0.639</x:v>
      </x:c>
      <x:c r="K16" s="9" t="n">
        <x:f>'Raw Data'!K9</x:f>
        <x:v>0.503</x:v>
      </x:c>
      <x:c r="L16" s="9" t="n">
        <x:f>'Raw Data'!L9</x:f>
        <x:v>0.664</x:v>
      </x:c>
      <x:c r="M16" s="9" t="n">
        <x:f>'Raw Data'!M9</x:f>
        <x:v>0.81</x:v>
      </x:c>
      <x:c r="N16" s="9" t="n">
        <x:f>'Metrics'!G9</x:f>
        <x:v>0.7296111111111112</x:v>
      </x:c>
      <x:c r="O16" s="17" t="n">
        <x:f>'Metrics'!J9</x:f>
        <x:v>11.416666666666666</x:v>
      </x:c>
    </x:row>
    <x:row r="17">
      <x:c r="A17" s="10" t="str">
        <x:f>'Raw Data'!A18</x:f>
        <x:v>covid19_twitter+nm&gt;ukr_rus_twitter+lp</x:v>
      </x:c>
      <x:c r="B17" s="9" t="n">
        <x:f>'Raw Data'!B18</x:f>
        <x:v>0.857</x:v>
      </x:c>
      <x:c r="C17" s="9" t="n">
        <x:f>'Raw Data'!C18</x:f>
        <x:v>0.884</x:v>
      </x:c>
      <x:c r="D17" s="9" t="n">
        <x:f>'Raw Data'!D18</x:f>
        <x:v>0.626</x:v>
      </x:c>
      <x:c r="E17" s="9" t="n">
        <x:f>'Raw Data'!E18</x:f>
        <x:v>0.636</x:v>
      </x:c>
      <x:c r="F17" s="9" t="n">
        <x:f>'Raw Data'!F18</x:f>
        <x:v>0.632</x:v>
      </x:c>
      <x:c r="G17" s="9" t="n">
        <x:f>'Raw Data'!G18</x:f>
        <x:v>0.587</x:v>
      </x:c>
      <x:c r="H17" s="9" t="n">
        <x:f>'Raw Data'!H18</x:f>
        <x:v>0.777</x:v>
      </x:c>
      <x:c r="I17" s="9" t="n">
        <x:f>'Raw Data'!I18</x:f>
        <x:v>0.803</x:v>
      </x:c>
      <x:c r="J17" s="9" t="n">
        <x:f>'Raw Data'!J18</x:f>
        <x:v>0.653</x:v>
      </x:c>
      <x:c r="K17" s="9" t="n">
        <x:f>'Raw Data'!K18</x:f>
        <x:v>0.539</x:v>
      </x:c>
      <x:c r="L17" s="9" t="n">
        <x:f>'Raw Data'!L18</x:f>
        <x:v>0.891</x:v>
      </x:c>
      <x:c r="M17" s="9" t="n">
        <x:f>'Raw Data'!M18</x:f>
        <x:v>0.916</x:v>
      </x:c>
      <x:c r="N17" s="9" t="n">
        <x:f>'Metrics'!G18</x:f>
        <x:v>0.7271111111111112</x:v>
      </x:c>
      <x:c r="O17" s="17" t="n">
        <x:f>'Metrics'!J18</x:f>
        <x:v>11.833333333333334</x:v>
      </x:c>
    </x:row>
    <x:row r="18">
      <x:c r="A18" s="10" t="str">
        <x:f>'Raw Data'!A17</x:f>
        <x:v>midterm+nm&gt;covid19_twitter+lp</x:v>
      </x:c>
      <x:c r="B18" s="9" t="n">
        <x:f>'Raw Data'!B17</x:f>
        <x:v>0.943</x:v>
      </x:c>
      <x:c r="C18" s="9" t="n">
        <x:f>'Raw Data'!C17</x:f>
        <x:v>0.961</x:v>
      </x:c>
      <x:c r="D18" s="9" t="n">
        <x:f>'Raw Data'!D17</x:f>
        <x:v>0.571</x:v>
      </x:c>
      <x:c r="E18" s="9" t="n">
        <x:f>'Raw Data'!E17</x:f>
        <x:v>0.621</x:v>
      </x:c>
      <x:c r="F18" s="9" t="n">
        <x:f>'Raw Data'!F17</x:f>
        <x:v>0.538</x:v>
      </x:c>
      <x:c r="G18" s="9" t="n">
        <x:f>'Raw Data'!G17</x:f>
        <x:v>0.561</x:v>
      </x:c>
      <x:c r="H18" s="9" t="n">
        <x:f>'Raw Data'!H17</x:f>
        <x:v>0.786</x:v>
      </x:c>
      <x:c r="I18" s="9" t="n">
        <x:f>'Raw Data'!I17</x:f>
        <x:v>0.875</x:v>
      </x:c>
      <x:c r="J18" s="9" t="n">
        <x:f>'Raw Data'!J17</x:f>
        <x:v>0.658</x:v>
      </x:c>
      <x:c r="K18" s="9" t="n">
        <x:f>'Raw Data'!K17</x:f>
        <x:v>0.504</x:v>
      </x:c>
      <x:c r="L18" s="9" t="n">
        <x:f>'Raw Data'!L17</x:f>
        <x:v>0.859</x:v>
      </x:c>
      <x:c r="M18" s="9" t="n">
        <x:f>'Raw Data'!M17</x:f>
        <x:v>0.93</x:v>
      </x:c>
      <x:c r="N18" s="9" t="n">
        <x:f>'Metrics'!G17</x:f>
        <x:v>0.7267222222222222</x:v>
      </x:c>
      <x:c r="O18" s="17" t="n">
        <x:f>'Metrics'!J17</x:f>
        <x:v>11.916666666666666</x:v>
      </x:c>
    </x:row>
    <x:row r="19">
      <x:c r="A19" s="10" t="str">
        <x:f>'Raw Data'!A12</x:f>
        <x:v>midterm+lp&gt;covid19_twitter+lp</x:v>
      </x:c>
      <x:c r="B19" s="9" t="n">
        <x:f>'Raw Data'!B12</x:f>
        <x:v>0.932</x:v>
      </x:c>
      <x:c r="C19" s="9" t="n">
        <x:f>'Raw Data'!C12</x:f>
        <x:v>0.933</x:v>
      </x:c>
      <x:c r="D19" s="9" t="n">
        <x:f>'Raw Data'!D12</x:f>
        <x:v>0.591</x:v>
      </x:c>
      <x:c r="E19" s="9" t="n">
        <x:f>'Raw Data'!E12</x:f>
        <x:v>0.579</x:v>
      </x:c>
      <x:c r="F19" s="9" t="n">
        <x:f>'Raw Data'!F12</x:f>
        <x:v>0.54</x:v>
      </x:c>
      <x:c r="G19" s="9" t="n">
        <x:f>'Raw Data'!G12</x:f>
        <x:v>0.533</x:v>
      </x:c>
      <x:c r="H19" s="9" t="n">
        <x:f>'Raw Data'!H12</x:f>
        <x:v>0.774</x:v>
      </x:c>
      <x:c r="I19" s="9" t="n">
        <x:f>'Raw Data'!I12</x:f>
        <x:v>0.825</x:v>
      </x:c>
      <x:c r="J19" s="9" t="n">
        <x:f>'Raw Data'!J12</x:f>
        <x:v>0.615</x:v>
      </x:c>
      <x:c r="K19" s="9" t="n">
        <x:f>'Raw Data'!K12</x:f>
        <x:v>0.506</x:v>
      </x:c>
      <x:c r="L19" s="9" t="n">
        <x:f>'Raw Data'!L12</x:f>
        <x:v>0.838</x:v>
      </x:c>
      <x:c r="M19" s="9" t="n">
        <x:f>'Raw Data'!M12</x:f>
        <x:v>0.895</x:v>
      </x:c>
      <x:c r="N19" s="9" t="n">
        <x:f>'Metrics'!G12</x:f>
        <x:v>0.7068333333333334</x:v>
      </x:c>
      <x:c r="O19" s="17" t="n">
        <x:f>'Metrics'!J12</x:f>
        <x:v>14.25</x:v>
      </x:c>
    </x:row>
    <x:row r="20">
      <x:c r="A20" s="10" t="str">
        <x:f>'Raw Data'!A14</x:f>
        <x:v>covid19_twitter+nm&gt;ukr_rus_twitter+nm</x:v>
      </x:c>
      <x:c r="B20" s="9" t="n">
        <x:f>'Raw Data'!B14</x:f>
        <x:v>0.572</x:v>
      </x:c>
      <x:c r="C20" s="9" t="n">
        <x:f>'Raw Data'!C14</x:f>
        <x:v>0.952</x:v>
      </x:c>
      <x:c r="D20" s="9" t="n">
        <x:f>'Raw Data'!D14</x:f>
        <x:v>0.684</x:v>
      </x:c>
      <x:c r="E20" s="9" t="n">
        <x:f>'Raw Data'!E14</x:f>
        <x:v>0.678</x:v>
      </x:c>
      <x:c r="F20" s="9" t="n">
        <x:f>'Raw Data'!F14</x:f>
        <x:v>0.671</x:v>
      </x:c>
      <x:c r="G20" s="9" t="n">
        <x:f>'Raw Data'!G14</x:f>
        <x:v>0.689</x:v>
      </x:c>
      <x:c r="H20" s="9" t="n">
        <x:f>'Raw Data'!H14</x:f>
        <x:v>0.644</x:v>
      </x:c>
      <x:c r="I20" s="9" t="n">
        <x:f>'Raw Data'!I14</x:f>
        <x:v>0.849</x:v>
      </x:c>
      <x:c r="J20" s="9" t="n">
        <x:f>'Raw Data'!J14</x:f>
        <x:v>0.691</x:v>
      </x:c>
      <x:c r="K20" s="9" t="n">
        <x:f>'Raw Data'!K14</x:f>
        <x:v>0.511</x:v>
      </x:c>
      <x:c r="L20" s="9" t="n">
        <x:f>'Raw Data'!L14</x:f>
        <x:v>0.658</x:v>
      </x:c>
      <x:c r="M20" s="9" t="n">
        <x:f>'Raw Data'!M14</x:f>
        <x:v>0.978</x:v>
      </x:c>
      <x:c r="N20" s="9" t="n">
        <x:f>'Metrics'!G14</x:f>
        <x:v>0.6849444444444445</x:v>
      </x:c>
      <x:c r="O20" s="17" t="n">
        <x:f>'Metrics'!J14</x:f>
        <x:v>11.333333333333334</x:v>
      </x:c>
    </x:row>
    <x:row r="21">
      <x:c r="A21" s="10" t="str">
        <x:f>'Raw Data'!A21</x:f>
        <x:v>merged_lp</x:v>
      </x:c>
      <x:c r="B21" s="9" t="n">
        <x:f>'Raw Data'!B21</x:f>
        <x:v>0.844</x:v>
      </x:c>
      <x:c r="C21" s="9" t="n">
        <x:f>'Raw Data'!C21</x:f>
        <x:v>0.935</x:v>
      </x:c>
      <x:c r="D21" s="9" t="n">
        <x:f>'Raw Data'!D21</x:f>
        <x:v>0.559</x:v>
      </x:c>
      <x:c r="E21" s="9" t="n">
        <x:f>'Raw Data'!E21</x:f>
        <x:v>0.544</x:v>
      </x:c>
      <x:c r="F21" s="9" t="n">
        <x:f>'Raw Data'!F21</x:f>
        <x:v>0.535</x:v>
      </x:c>
      <x:c r="G21" s="9" t="n">
        <x:f>'Raw Data'!G21</x:f>
        <x:v>0.528</x:v>
      </x:c>
      <x:c r="H21" s="9" t="n">
        <x:f>'Raw Data'!H21</x:f>
        <x:v>0.664</x:v>
      </x:c>
      <x:c r="I21" s="9" t="n">
        <x:f>'Raw Data'!I21</x:f>
        <x:v>0.844</x:v>
      </x:c>
      <x:c r="J21" s="9" t="n">
        <x:f>'Raw Data'!J21</x:f>
        <x:v>0.638</x:v>
      </x:c>
      <x:c r="K21" s="9" t="n">
        <x:f>'Raw Data'!K21</x:f>
        <x:v>0.511</x:v>
      </x:c>
      <x:c r="L21" s="9" t="n">
        <x:f>'Raw Data'!L21</x:f>
        <x:v>0.8</x:v>
      </x:c>
      <x:c r="M21" s="9" t="n">
        <x:f>'Raw Data'!M21</x:f>
        <x:v>0.932</x:v>
      </x:c>
      <x:c r="N21" s="9" t="n">
        <x:f>'Metrics'!G21</x:f>
        <x:v>0.6791666666666667</x:v>
      </x:c>
      <x:c r="O21" s="17" t="n">
        <x:f>'Metrics'!J21</x:f>
        <x:v>15.583333333333334</x:v>
      </x:c>
    </x:row>
    <x:row r="22">
      <x:c r="A22" s="10" t="str">
        <x:f>'Raw Data'!A7</x:f>
        <x:v>midterm+pl</x:v>
      </x:c>
      <x:c r="B22" s="9" t="n">
        <x:f>'Raw Data'!B7</x:f>
        <x:v>0.585</x:v>
      </x:c>
      <x:c r="C22" s="9" t="n">
        <x:f>'Raw Data'!C7</x:f>
        <x:v>0.67</x:v>
      </x:c>
      <x:c r="D22" s="9" t="n">
        <x:f>'Raw Data'!D7</x:f>
        <x:v>0.586</x:v>
      </x:c>
      <x:c r="E22" s="9" t="n">
        <x:f>'Raw Data'!E7</x:f>
        <x:v>0.637</x:v>
      </x:c>
      <x:c r="F22" s="9" t="n">
        <x:f>'Raw Data'!F7</x:f>
        <x:v>0.638</x:v>
      </x:c>
      <x:c r="G22" s="9" t="n">
        <x:f>'Raw Data'!G7</x:f>
        <x:v>0.745</x:v>
      </x:c>
      <x:c r="H22" s="9" t="n">
        <x:f>'Raw Data'!H7</x:f>
        <x:v>0.558</x:v>
      </x:c>
      <x:c r="I22" s="9" t="n">
        <x:f>'Raw Data'!I7</x:f>
        <x:v>0.773</x:v>
      </x:c>
      <x:c r="J22" s="9" t="n">
        <x:f>'Raw Data'!J7</x:f>
        <x:v>0.558</x:v>
      </x:c>
      <x:c r="K22" s="9" t="n">
        <x:f>'Raw Data'!K7</x:f>
        <x:v>0.502</x:v>
      </x:c>
      <x:c r="L22" s="9" t="n">
        <x:f>'Raw Data'!L7</x:f>
        <x:v>0.576</x:v>
      </x:c>
      <x:c r="M22" s="9" t="n">
        <x:f>'Raw Data'!M7</x:f>
        <x:v>0.674</x:v>
      </x:c>
      <x:c r="N22" s="9" t="n">
        <x:f>'Metrics'!G7</x:f>
        <x:v>0.6169444444444445</x:v>
      </x:c>
      <x:c r="O22" s="17" t="n">
        <x:f>'Metrics'!J7</x:f>
        <x:v>16.583333333333332</x:v>
      </x:c>
    </x:row>
    <x:row r="23">
      <x:c r="A23" s="10" t="str">
        <x:f>'Raw Data'!A6</x:f>
        <x:v>ukr_rus_twitter+pl</x:v>
      </x:c>
      <x:c r="B23" s="9" t="n">
        <x:f>'Raw Data'!B6</x:f>
        <x:v>0.526</x:v>
      </x:c>
      <x:c r="C23" s="9" t="n">
        <x:f>'Raw Data'!C6</x:f>
        <x:v>0.702</x:v>
      </x:c>
      <x:c r="D23" s="9" t="n">
        <x:f>'Raw Data'!D6</x:f>
        <x:v>0.515</x:v>
      </x:c>
      <x:c r="E23" s="9" t="n">
        <x:f>'Raw Data'!E6</x:f>
        <x:v>0.559</x:v>
      </x:c>
      <x:c r="F23" s="9" t="n">
        <x:f>'Raw Data'!F6</x:f>
        <x:v>0.536</x:v>
      </x:c>
      <x:c r="G23" s="9" t="n">
        <x:f>'Raw Data'!G6</x:f>
        <x:v>0.601</x:v>
      </x:c>
      <x:c r="H23" s="9" t="n">
        <x:f>'Raw Data'!H6</x:f>
        <x:v>0.486</x:v>
      </x:c>
      <x:c r="I23" s="9" t="n">
        <x:f>'Raw Data'!I6</x:f>
        <x:v>0.65</x:v>
      </x:c>
      <x:c r="J23" s="9" t="n">
        <x:f>'Raw Data'!J6</x:f>
        <x:v>0.521</x:v>
      </x:c>
      <x:c r="K23" s="9" t="n">
        <x:f>'Raw Data'!K6</x:f>
        <x:v>0.514</x:v>
      </x:c>
      <x:c r="L23" s="9" t="n">
        <x:f>'Raw Data'!L6</x:f>
        <x:v>0.538</x:v>
      </x:c>
      <x:c r="M23" s="9" t="n">
        <x:f>'Raw Data'!M6</x:f>
        <x:v>0.752</x:v>
      </x:c>
      <x:c r="N23" s="9" t="n">
        <x:f>'Metrics'!G6</x:f>
        <x:v>0.5624444444444444</x:v>
      </x:c>
      <x:c r="O23" s="17" t="n">
        <x:f>'Metrics'!J6</x:f>
        <x:v>18.583333333333332</x:v>
      </x:c>
    </x:row>
    <x:row r="24">
      <x:c r="A24" s="19" t="str">
        <x:f>'Raw Data'!A5</x:f>
        <x:v>covid19_twitter+pl</x:v>
      </x:c>
      <x:c r="B24" s="20" t="n">
        <x:f>'Raw Data'!B5</x:f>
        <x:v>0.543</x:v>
      </x:c>
      <x:c r="C24" s="20" t="n">
        <x:f>'Raw Data'!C5</x:f>
        <x:v>0.549</x:v>
      </x:c>
      <x:c r="D24" s="20" t="n">
        <x:f>'Raw Data'!D5</x:f>
        <x:v>0.505</x:v>
      </x:c>
      <x:c r="E24" s="20" t="n">
        <x:f>'Raw Data'!E5</x:f>
        <x:v>0.65</x:v>
      </x:c>
      <x:c r="F24" s="20" t="n">
        <x:f>'Raw Data'!F5</x:f>
        <x:v>0.503</x:v>
      </x:c>
      <x:c r="G24" s="20" t="n">
        <x:f>'Raw Data'!G5</x:f>
        <x:v>0.61</x:v>
      </x:c>
      <x:c r="H24" s="20" t="n">
        <x:f>'Raw Data'!H5</x:f>
        <x:v>0.516</x:v>
      </x:c>
      <x:c r="I24" s="20" t="n">
        <x:f>'Raw Data'!I5</x:f>
        <x:v>0.521</x:v>
      </x:c>
      <x:c r="J24" s="20" t="n">
        <x:f>'Raw Data'!J5</x:f>
        <x:v>0.502</x:v>
      </x:c>
      <x:c r="K24" s="20" t="n">
        <x:f>'Raw Data'!K5</x:f>
        <x:v>0.516</x:v>
      </x:c>
      <x:c r="L24" s="20" t="n">
        <x:f>'Raw Data'!L5</x:f>
        <x:v>0.511</x:v>
      </x:c>
      <x:c r="M24" s="20" t="n">
        <x:f>'Raw Data'!M5</x:f>
        <x:v>0.527</x:v>
      </x:c>
      <x:c r="N24" s="20" t="n">
        <x:f>'Metrics'!G5</x:f>
        <x:v>0.5443888888888889</x:v>
      </x:c>
      <x:c r="O24" s="21" t="n">
        <x:f>'Metrics'!J5</x:f>
        <x:v>18</x:v>
      </x:c>
    </x:row>
  </x:sheetData>
  <x:mergeCells>
    <x:mergeCell ref="A1:O2"/>
  </x:mergeCells>
  <x:conditionalFormatting sqref="B4:M24">
    <x:cfRule type="colorScale" priority="1">
      <x:colorScale>
        <x:cfvo type="num" val="0.48"/>
        <x:cfvo type="num" val="0.75"/>
        <x:cfvo type="num" val="1"/>
        <x:color rgb="FFF8D7DA"/>
        <x:color rgb="FFFFF3CD"/>
        <x:color rgb="FFD1E7DD"/>
      </x:colorScale>
    </x:cfRule>
  </x:conditionalFormatting>
  <x:conditionalFormatting sqref="N4:N24">
    <x:cfRule type="dataBar" priority="2">
      <x:dataBar>
        <x:cfvo type="min"/>
        <x:cfvo type="max"/>
        <x:color rgb="FF2F6B9A"/>
      </x:dataBar>
      <x:extLst>
        <x:ext xmlns:x14="http://schemas.microsoft.com/office/spreadsheetml/2009/9/main" uri="{B025F937-C7B1-47D3-B67F-A62EFF666E3E}">
          <x14:id>{A50B01A5-5EF1-4FEE-4CA1-A4FCEBECB6AC}</x14:id>
        </x:ext>
      </x:extLst>
    </x:cfRule>
  </x:conditionalFormatting>
  <x:conditionalFormatting sqref="O4:O24">
    <x:cfRule type="colorScale" priority="3">
      <x:colorScale>
        <x:cfvo type="min"/>
        <x:cfvo type="percentile" val="50"/>
        <x:cfvo type="max"/>
        <x:color rgb="FFD1E7DD"/>
        <x:color rgb="FFFFF3CD"/>
        <x:color rgb="FFF8D7DA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50B01A5-5EF1-4FEE-4CA1-A4FCEBECB6AC}">
            <x14:dataBar gradient="1">
              <x14:cfvo type="min"/>
              <x14:cfvo type="max"/>
              <x14:fillColor rgb="FF2F6B9A"/>
            </x14:dataBar>
          </x14:cfRule>
          <xm:sqref>N4:N24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27" hidden="0" customWidth="1"/>
    <x:col min="15" max="15" width="38" hidden="0" customWidth="1"/>
  </x:cols>
  <x:sheetData>
    <x:row r="1" ht="42" customHeight="1">
      <x:c r="A1" s="7" t="str">
        <x:v>train_id</x:v>
      </x:c>
      <x:c r="B1" s="7" t="str">
        <x:v>covid19_twitter+lp</x:v>
      </x:c>
      <x:c r="C1" s="7" t="str">
        <x:v>covid19_twitter+nm</x:v>
      </x:c>
      <x:c r="D1" s="7" t="str">
        <x:v>covid_political+nm</x:v>
      </x:c>
      <x:c r="E1" s="7" t="str">
        <x:v>covid_political+pl</x:v>
      </x:c>
      <x:c r="F1" s="7" t="str">
        <x:v>election2020+nm</x:v>
      </x:c>
      <x:c r="G1" s="7" t="str">
        <x:v>election2020+pl</x:v>
      </x:c>
      <x:c r="H1" s="7" t="str">
        <x:v>midterm+lp</x:v>
      </x:c>
      <x:c r="I1" s="7" t="str">
        <x:v>midterm+nm</x:v>
      </x:c>
      <x:c r="J1" s="7" t="str">
        <x:v>ukr_rus_suspended+nm</x:v>
      </x:c>
      <x:c r="K1" s="7" t="str">
        <x:v>ukr_rus_suspended+pl</x:v>
      </x:c>
      <x:c r="L1" s="7" t="str">
        <x:v>ukr_rus_twitter+lp</x:v>
      </x:c>
      <x:c r="M1" s="7" t="str">
        <x:v>ukr_rus_twitter+nm</x:v>
      </x:c>
      <x:c r="N1" s="7" t="str">
        <x:v>Experiment</x:v>
      </x:c>
      <x:c r="O1" s="7" t="str">
        <x:v>Pretrain Strategy</x:v>
      </x:c>
    </x:row>
    <x:row r="2">
      <x:c r="A2" s="8" t="str">
        <x:v>covid19_twitter+nm</x:v>
      </x:c>
      <x:c r="B2" s="9" t="n">
        <x:v>0.908</x:v>
      </x:c>
      <x:c r="C2" s="9" t="n">
        <x:v>0.998</x:v>
      </x:c>
      <x:c r="D2" s="9" t="n">
        <x:v>0.738</x:v>
      </x:c>
      <x:c r="E2" s="9" t="n">
        <x:v>0.674</x:v>
      </x:c>
      <x:c r="F2" s="9" t="n">
        <x:v>0.757</x:v>
      </x:c>
      <x:c r="G2" s="9" t="n">
        <x:v>0.9</x:v>
      </x:c>
      <x:c r="H2" s="9" t="n">
        <x:v>0.849</x:v>
      </x:c>
      <x:c r="I2" s="9" t="n">
        <x:v>0.971</x:v>
      </x:c>
      <x:c r="J2" s="9" t="n">
        <x:v>0.802</x:v>
      </x:c>
      <x:c r="K2" s="9" t="n">
        <x:v>0.51</x:v>
      </x:c>
      <x:c r="L2" s="9" t="n">
        <x:v>0.842</x:v>
      </x:c>
      <x:c r="M2" s="9" t="n">
        <x:v>0.986</x:v>
      </x:c>
      <x:c r="N2" s="10" t="str">
        <x:v>NM</x:v>
      </x:c>
      <x:c r="O2" s="10" t="str">
        <x:v>1 graph, 1 task</x:v>
      </x:c>
    </x:row>
    <x:row r="3">
      <x:c r="A3" s="8" t="str">
        <x:v>midterm+nm</x:v>
      </x:c>
      <x:c r="B3" s="9" t="n">
        <x:v>0.769</x:v>
      </x:c>
      <x:c r="C3" s="9" t="n">
        <x:v>0.988</x:v>
      </x:c>
      <x:c r="D3" s="9" t="n">
        <x:v>0.746</x:v>
      </x:c>
      <x:c r="E3" s="9" t="n">
        <x:v>0.649</x:v>
      </x:c>
      <x:c r="F3" s="9" t="n">
        <x:v>0.733</x:v>
      </x:c>
      <x:c r="G3" s="9" t="n">
        <x:v>0.749</x:v>
      </x:c>
      <x:c r="H3" s="9" t="n">
        <x:v>0.836</x:v>
      </x:c>
      <x:c r="I3" s="9" t="n">
        <x:v>0.982</x:v>
      </x:c>
      <x:c r="J3" s="9" t="n">
        <x:v>0.729</x:v>
      </x:c>
      <x:c r="K3" s="9" t="n">
        <x:v>0.505</x:v>
      </x:c>
      <x:c r="L3" s="9" t="n">
        <x:v>0.698</x:v>
      </x:c>
      <x:c r="M3" s="9" t="n">
        <x:v>0.979</x:v>
      </x:c>
      <x:c r="N3" s="10" t="str">
        <x:v>NM</x:v>
      </x:c>
      <x:c r="O3" s="10" t="str">
        <x:v>1 graph, 1 task</x:v>
      </x:c>
    </x:row>
    <x:row r="4">
      <x:c r="A4" s="8" t="str">
        <x:v>ukr_rus_twitter+nm</x:v>
      </x:c>
      <x:c r="B4" s="9" t="n">
        <x:v>0.843</x:v>
      </x:c>
      <x:c r="C4" s="9" t="n">
        <x:v>0.991</x:v>
      </x:c>
      <x:c r="D4" s="9" t="n">
        <x:v>0.73</x:v>
      </x:c>
      <x:c r="E4" s="9" t="n">
        <x:v>0.693</x:v>
      </x:c>
      <x:c r="F4" s="9" t="n">
        <x:v>0.738</x:v>
      </x:c>
      <x:c r="G4" s="9" t="n">
        <x:v>0.904</x:v>
      </x:c>
      <x:c r="H4" s="9" t="n">
        <x:v>0.713</x:v>
      </x:c>
      <x:c r="I4" s="9" t="n">
        <x:v>0.956</x:v>
      </x:c>
      <x:c r="J4" s="9" t="n">
        <x:v>0.754</x:v>
      </x:c>
      <x:c r="K4" s="9" t="n">
        <x:v>0.507</x:v>
      </x:c>
      <x:c r="L4" s="9" t="n">
        <x:v>0.826</x:v>
      </x:c>
      <x:c r="M4" s="9" t="n">
        <x:v>0.992</x:v>
      </x:c>
      <x:c r="N4" s="10" t="str">
        <x:v>NM</x:v>
      </x:c>
      <x:c r="O4" s="10" t="str">
        <x:v>1 graph, 1 task</x:v>
      </x:c>
    </x:row>
    <x:row r="5">
      <x:c r="A5" s="8" t="str">
        <x:v>covid19_twitter+pl</x:v>
      </x:c>
      <x:c r="B5" s="9" t="n">
        <x:v>0.543</x:v>
      </x:c>
      <x:c r="C5" s="9" t="n">
        <x:v>0.549</x:v>
      </x:c>
      <x:c r="D5" s="9" t="n">
        <x:v>0.505</x:v>
      </x:c>
      <x:c r="E5" s="9" t="n">
        <x:v>0.65</x:v>
      </x:c>
      <x:c r="F5" s="9" t="n">
        <x:v>0.503</x:v>
      </x:c>
      <x:c r="G5" s="9" t="n">
        <x:v>0.61</x:v>
      </x:c>
      <x:c r="H5" s="9" t="n">
        <x:v>0.516</x:v>
      </x:c>
      <x:c r="I5" s="9" t="n">
        <x:v>0.521</x:v>
      </x:c>
      <x:c r="J5" s="9" t="n">
        <x:v>0.502</x:v>
      </x:c>
      <x:c r="K5" s="9" t="n">
        <x:v>0.516</x:v>
      </x:c>
      <x:c r="L5" s="9" t="n">
        <x:v>0.511</x:v>
      </x:c>
      <x:c r="M5" s="9" t="n">
        <x:v>0.527</x:v>
      </x:c>
      <x:c r="N5" s="10" t="str">
        <x:v>PL</x:v>
      </x:c>
      <x:c r="O5" s="10" t="str">
        <x:v>1 graph, 1 task</x:v>
      </x:c>
    </x:row>
    <x:row r="6">
      <x:c r="A6" s="8" t="str">
        <x:v>ukr_rus_twitter+pl</x:v>
      </x:c>
      <x:c r="B6" s="9" t="n">
        <x:v>0.526</x:v>
      </x:c>
      <x:c r="C6" s="9" t="n">
        <x:v>0.702</x:v>
      </x:c>
      <x:c r="D6" s="9" t="n">
        <x:v>0.515</x:v>
      </x:c>
      <x:c r="E6" s="9" t="n">
        <x:v>0.559</x:v>
      </x:c>
      <x:c r="F6" s="9" t="n">
        <x:v>0.536</x:v>
      </x:c>
      <x:c r="G6" s="9" t="n">
        <x:v>0.601</x:v>
      </x:c>
      <x:c r="H6" s="9" t="n">
        <x:v>0.486</x:v>
      </x:c>
      <x:c r="I6" s="9" t="n">
        <x:v>0.65</x:v>
      </x:c>
      <x:c r="J6" s="9" t="n">
        <x:v>0.521</x:v>
      </x:c>
      <x:c r="K6" s="9" t="n">
        <x:v>0.514</x:v>
      </x:c>
      <x:c r="L6" s="9" t="n">
        <x:v>0.538</x:v>
      </x:c>
      <x:c r="M6" s="9" t="n">
        <x:v>0.752</x:v>
      </x:c>
      <x:c r="N6" s="10" t="str">
        <x:v>PL</x:v>
      </x:c>
      <x:c r="O6" s="10" t="str">
        <x:v>1 graph, 1 task</x:v>
      </x:c>
    </x:row>
    <x:row r="7">
      <x:c r="A7" s="8" t="str">
        <x:v>midterm+pl</x:v>
      </x:c>
      <x:c r="B7" s="9" t="n">
        <x:v>0.585</x:v>
      </x:c>
      <x:c r="C7" s="9" t="n">
        <x:v>0.67</x:v>
      </x:c>
      <x:c r="D7" s="9" t="n">
        <x:v>0.586</x:v>
      </x:c>
      <x:c r="E7" s="9" t="n">
        <x:v>0.637</x:v>
      </x:c>
      <x:c r="F7" s="9" t="n">
        <x:v>0.638</x:v>
      </x:c>
      <x:c r="G7" s="9" t="n">
        <x:v>0.745</x:v>
      </x:c>
      <x:c r="H7" s="9" t="n">
        <x:v>0.558</x:v>
      </x:c>
      <x:c r="I7" s="9" t="n">
        <x:v>0.773</x:v>
      </x:c>
      <x:c r="J7" s="9" t="n">
        <x:v>0.558</x:v>
      </x:c>
      <x:c r="K7" s="9" t="n">
        <x:v>0.502</x:v>
      </x:c>
      <x:c r="L7" s="9" t="n">
        <x:v>0.576</x:v>
      </x:c>
      <x:c r="M7" s="9" t="n">
        <x:v>0.674</x:v>
      </x:c>
      <x:c r="N7" s="10" t="str">
        <x:v>PL</x:v>
      </x:c>
      <x:c r="O7" s="10" t="str">
        <x:v>1 graph, 1 task</x:v>
      </x:c>
    </x:row>
    <x:row r="8">
      <x:c r="A8" s="8" t="str">
        <x:v>covid19_twitter+lp</x:v>
      </x:c>
      <x:c r="B8" s="9" t="n">
        <x:v>0.955</x:v>
      </x:c>
      <x:c r="C8" s="9" t="n">
        <x:v>0.945</x:v>
      </x:c>
      <x:c r="D8" s="9" t="n">
        <x:v>0.619</x:v>
      </x:c>
      <x:c r="E8" s="9" t="n">
        <x:v>0.623</x:v>
      </x:c>
      <x:c r="F8" s="9" t="n">
        <x:v>0.654</x:v>
      </x:c>
      <x:c r="G8" s="9" t="n">
        <x:v>0.737</x:v>
      </x:c>
      <x:c r="H8" s="9" t="n">
        <x:v>0.784</x:v>
      </x:c>
      <x:c r="I8" s="9" t="n">
        <x:v>0.834</x:v>
      </x:c>
      <x:c r="J8" s="9" t="n">
        <x:v>0.681</x:v>
      </x:c>
      <x:c r="K8" s="9" t="n">
        <x:v>0.504</x:v>
      </x:c>
      <x:c r="L8" s="9" t="n">
        <x:v>0.855</x:v>
      </x:c>
      <x:c r="M8" s="9" t="n">
        <x:v>0.888</x:v>
      </x:c>
      <x:c r="N8" s="10" t="str">
        <x:v>LP</x:v>
      </x:c>
      <x:c r="O8" s="10" t="str">
        <x:v>1 graph, 1 task</x:v>
      </x:c>
    </x:row>
    <x:row r="9">
      <x:c r="A9" s="8" t="str">
        <x:v>midterm+lp</x:v>
      </x:c>
      <x:c r="B9" s="9" t="n">
        <x:v>0.605</x:v>
      </x:c>
      <x:c r="C9" s="9" t="n">
        <x:v>0.841</x:v>
      </x:c>
      <x:c r="D9" s="9" t="n">
        <x:v>0.708</x:v>
      </x:c>
      <x:c r="E9" s="9" t="n">
        <x:v>0.678</x:v>
      </x:c>
      <x:c r="F9" s="9" t="n">
        <x:v>0.73</x:v>
      </x:c>
      <x:c r="G9" s="9" t="n">
        <x:v>0.87</x:v>
      </x:c>
      <x:c r="H9" s="9" t="n">
        <x:v>0.939</x:v>
      </x:c>
      <x:c r="I9" s="9" t="n">
        <x:v>0.887</x:v>
      </x:c>
      <x:c r="J9" s="9" t="n">
        <x:v>0.639</x:v>
      </x:c>
      <x:c r="K9" s="9" t="n">
        <x:v>0.503</x:v>
      </x:c>
      <x:c r="L9" s="9" t="n">
        <x:v>0.664</x:v>
      </x:c>
      <x:c r="M9" s="9" t="n">
        <x:v>0.81</x:v>
      </x:c>
      <x:c r="N9" s="10" t="str">
        <x:v>LP</x:v>
      </x:c>
      <x:c r="O9" s="10" t="str">
        <x:v>1 graph, 1 task</x:v>
      </x:c>
    </x:row>
    <x:row r="10">
      <x:c r="A10" s="8" t="str">
        <x:v>ukr_rus_twitter+lp</x:v>
      </x:c>
      <x:c r="B10" s="9" t="n">
        <x:v>0.857</x:v>
      </x:c>
      <x:c r="C10" s="9" t="n">
        <x:v>0.92</x:v>
      </x:c>
      <x:c r="D10" s="9" t="n">
        <x:v>0.611</x:v>
      </x:c>
      <x:c r="E10" s="9" t="n">
        <x:v>0.589</x:v>
      </x:c>
      <x:c r="F10" s="9" t="n">
        <x:v>0.677</x:v>
      </x:c>
      <x:c r="G10" s="9" t="n">
        <x:v>0.742</x:v>
      </x:c>
      <x:c r="H10" s="9" t="n">
        <x:v>0.766</x:v>
      </x:c>
      <x:c r="I10" s="9" t="n">
        <x:v>0.869</x:v>
      </x:c>
      <x:c r="J10" s="9" t="n">
        <x:v>0.67</x:v>
      </x:c>
      <x:c r="K10" s="9" t="n">
        <x:v>0.519</x:v>
      </x:c>
      <x:c r="L10" s="9" t="n">
        <x:v>0.921</x:v>
      </x:c>
      <x:c r="M10" s="9" t="n">
        <x:v>0.953</x:v>
      </x:c>
      <x:c r="N10" s="10" t="str">
        <x:v>LP</x:v>
      </x:c>
      <x:c r="O10" s="10" t="str">
        <x:v>1 graph, 1 task</x:v>
      </x:c>
    </x:row>
    <x:row r="11">
      <x:c r="A11" s="8" t="str">
        <x:v>covid19_twitter+lp&gt;ukr_rus_twitter+lp</x:v>
      </x:c>
      <x:c r="B11" s="9" t="n">
        <x:v>0.913</x:v>
      </x:c>
      <x:c r="C11" s="9" t="n">
        <x:v>0.941</x:v>
      </x:c>
      <x:c r="D11" s="9" t="n">
        <x:v>0.561</x:v>
      </x:c>
      <x:c r="E11" s="9" t="n">
        <x:v>0.599</x:v>
      </x:c>
      <x:c r="F11" s="9" t="n">
        <x:v>0.543</x:v>
      </x:c>
      <x:c r="G11" s="9" t="n">
        <x:v>0.568</x:v>
      </x:c>
      <x:c r="H11" s="9" t="n">
        <x:v>0.81</x:v>
      </x:c>
      <x:c r="I11" s="9" t="n">
        <x:v>0.857</x:v>
      </x:c>
      <x:c r="J11" s="9" t="n">
        <x:v>0.658</x:v>
      </x:c>
      <x:c r="K11" s="9" t="n">
        <x:v>0.527</x:v>
      </x:c>
      <x:c r="L11" s="9" t="n">
        <x:v>0.916</x:v>
      </x:c>
      <x:c r="M11" s="9" t="n">
        <x:v>0.953</x:v>
      </x:c>
      <x:c r="N11" s="10" t="str">
        <x:v>LP&gt;LP</x:v>
      </x:c>
      <x:c r="O11" s="10" t="str">
        <x:v>2 graphs (sequential), 1 task</x:v>
      </x:c>
    </x:row>
    <x:row r="12">
      <x:c r="A12" s="8" t="str">
        <x:v>midterm+lp&gt;covid19_twitter+lp</x:v>
      </x:c>
      <x:c r="B12" s="9" t="n">
        <x:v>0.932</x:v>
      </x:c>
      <x:c r="C12" s="9" t="n">
        <x:v>0.933</x:v>
      </x:c>
      <x:c r="D12" s="9" t="n">
        <x:v>0.591</x:v>
      </x:c>
      <x:c r="E12" s="9" t="n">
        <x:v>0.579</x:v>
      </x:c>
      <x:c r="F12" s="9" t="n">
        <x:v>0.54</x:v>
      </x:c>
      <x:c r="G12" s="9" t="n">
        <x:v>0.533</x:v>
      </x:c>
      <x:c r="H12" s="9" t="n">
        <x:v>0.774</x:v>
      </x:c>
      <x:c r="I12" s="9" t="n">
        <x:v>0.825</x:v>
      </x:c>
      <x:c r="J12" s="9" t="n">
        <x:v>0.615</x:v>
      </x:c>
      <x:c r="K12" s="9" t="n">
        <x:v>0.506</x:v>
      </x:c>
      <x:c r="L12" s="9" t="n">
        <x:v>0.838</x:v>
      </x:c>
      <x:c r="M12" s="9" t="n">
        <x:v>0.895</x:v>
      </x:c>
      <x:c r="N12" s="10" t="str">
        <x:v>LP&gt;LP</x:v>
      </x:c>
      <x:c r="O12" s="10" t="str">
        <x:v>2 graphs (sequential), 1 task</x:v>
      </x:c>
    </x:row>
    <x:row r="13">
      <x:c r="A13" s="8" t="str">
        <x:v>midterm+lp&gt;ukr_rus_twitter+lp</x:v>
      </x:c>
      <x:c r="B13" s="9" t="n">
        <x:v>0.868</x:v>
      </x:c>
      <x:c r="C13" s="9" t="n">
        <x:v>0.901</x:v>
      </x:c>
      <x:c r="D13" s="9" t="n">
        <x:v>0.585</x:v>
      </x:c>
      <x:c r="E13" s="9" t="n">
        <x:v>0.596</x:v>
      </x:c>
      <x:c r="F13" s="9" t="n">
        <x:v>0.671</x:v>
      </x:c>
      <x:c r="G13" s="9" t="n">
        <x:v>0.686</x:v>
      </x:c>
      <x:c r="H13" s="9" t="n">
        <x:v>0.815</x:v>
      </x:c>
      <x:c r="I13" s="9" t="n">
        <x:v>0.875</x:v>
      </x:c>
      <x:c r="J13" s="9" t="n">
        <x:v>0.678</x:v>
      </x:c>
      <x:c r="K13" s="9" t="n">
        <x:v>0.523</x:v>
      </x:c>
      <x:c r="L13" s="9" t="n">
        <x:v>0.907</x:v>
      </x:c>
      <x:c r="M13" s="9" t="n">
        <x:v>0.938</x:v>
      </x:c>
      <x:c r="N13" s="10" t="str">
        <x:v>LP&gt;LP</x:v>
      </x:c>
      <x:c r="O13" s="10" t="str">
        <x:v>2 graphs (sequential), 1 task</x:v>
      </x:c>
    </x:row>
    <x:row r="14">
      <x:c r="A14" s="8" t="str">
        <x:v>covid19_twitter+nm&gt;ukr_rus_twitter+nm</x:v>
      </x:c>
      <x:c r="B14" s="9" t="n">
        <x:v>0.572</x:v>
      </x:c>
      <x:c r="C14" s="9" t="n">
        <x:v>0.952</x:v>
      </x:c>
      <x:c r="D14" s="9" t="n">
        <x:v>0.684</x:v>
      </x:c>
      <x:c r="E14" s="9" t="n">
        <x:v>0.678</x:v>
      </x:c>
      <x:c r="F14" s="9" t="n">
        <x:v>0.671</x:v>
      </x:c>
      <x:c r="G14" s="9" t="n">
        <x:v>0.689</x:v>
      </x:c>
      <x:c r="H14" s="9" t="n">
        <x:v>0.644</x:v>
      </x:c>
      <x:c r="I14" s="9" t="n">
        <x:v>0.849</x:v>
      </x:c>
      <x:c r="J14" s="9" t="n">
        <x:v>0.691</x:v>
      </x:c>
      <x:c r="K14" s="9" t="n">
        <x:v>0.511</x:v>
      </x:c>
      <x:c r="L14" s="9" t="n">
        <x:v>0.658</x:v>
      </x:c>
      <x:c r="M14" s="9" t="n">
        <x:v>0.978</x:v>
      </x:c>
      <x:c r="N14" s="10" t="str">
        <x:v>NM&gt;NM</x:v>
      </x:c>
      <x:c r="O14" s="10" t="str">
        <x:v>2 graphs (sequential), 1 task</x:v>
      </x:c>
    </x:row>
    <x:row r="15">
      <x:c r="A15" s="8" t="str">
        <x:v>midterm+nm&gt;covid19_twitter+nm</x:v>
      </x:c>
      <x:c r="B15" s="9" t="n">
        <x:v>0.868</x:v>
      </x:c>
      <x:c r="C15" s="9" t="n">
        <x:v>0.997</x:v>
      </x:c>
      <x:c r="D15" s="9" t="n">
        <x:v>0.826</x:v>
      </x:c>
      <x:c r="E15" s="9" t="n">
        <x:v>0.772</x:v>
      </x:c>
      <x:c r="F15" s="9" t="n">
        <x:v>0.82</x:v>
      </x:c>
      <x:c r="G15" s="9" t="n">
        <x:v>0.95</x:v>
      </x:c>
      <x:c r="H15" s="9" t="n">
        <x:v>0.806</x:v>
      </x:c>
      <x:c r="I15" s="9" t="n">
        <x:v>0.968</x:v>
      </x:c>
      <x:c r="J15" s="9" t="n">
        <x:v>0.794</x:v>
      </x:c>
      <x:c r="K15" s="9" t="n">
        <x:v>0.515</x:v>
      </x:c>
      <x:c r="L15" s="9" t="n">
        <x:v>0.798</x:v>
      </x:c>
      <x:c r="M15" s="9" t="n">
        <x:v>0.978</x:v>
      </x:c>
      <x:c r="N15" s="10" t="str">
        <x:v>NM&gt;NM</x:v>
      </x:c>
      <x:c r="O15" s="10" t="str">
        <x:v>2 graphs (sequential), 1 task</x:v>
      </x:c>
    </x:row>
    <x:row r="16">
      <x:c r="A16" s="8" t="str">
        <x:v>midterm+nm&gt;ukr_rus_twitter+nm</x:v>
      </x:c>
      <x:c r="B16" s="9" t="n">
        <x:v>0.821</x:v>
      </x:c>
      <x:c r="C16" s="9" t="n">
        <x:v>0.985</x:v>
      </x:c>
      <x:c r="D16" s="9" t="n">
        <x:v>0.721</x:v>
      </x:c>
      <x:c r="E16" s="9" t="n">
        <x:v>0.667</x:v>
      </x:c>
      <x:c r="F16" s="9" t="n">
        <x:v>0.712</x:v>
      </x:c>
      <x:c r="G16" s="9" t="n">
        <x:v>0.877</x:v>
      </x:c>
      <x:c r="H16" s="9" t="n">
        <x:v>0.805</x:v>
      </x:c>
      <x:c r="I16" s="9" t="n">
        <x:v>0.949</x:v>
      </x:c>
      <x:c r="J16" s="9" t="n">
        <x:v>0.736</x:v>
      </x:c>
      <x:c r="K16" s="9" t="n">
        <x:v>0.503</x:v>
      </x:c>
      <x:c r="L16" s="9" t="n">
        <x:v>0.797</x:v>
      </x:c>
      <x:c r="M16" s="9" t="n">
        <x:v>0.988</x:v>
      </x:c>
      <x:c r="N16" s="10" t="str">
        <x:v>NM&gt;NM</x:v>
      </x:c>
      <x:c r="O16" s="10" t="str">
        <x:v>2 graphs (sequential), 1 task</x:v>
      </x:c>
    </x:row>
    <x:row r="17">
      <x:c r="A17" s="8" t="str">
        <x:v>midterm+nm&gt;covid19_twitter+lp</x:v>
      </x:c>
      <x:c r="B17" s="9" t="n">
        <x:v>0.943</x:v>
      </x:c>
      <x:c r="C17" s="9" t="n">
        <x:v>0.961</x:v>
      </x:c>
      <x:c r="D17" s="9" t="n">
        <x:v>0.571</x:v>
      </x:c>
      <x:c r="E17" s="9" t="n">
        <x:v>0.621</x:v>
      </x:c>
      <x:c r="F17" s="9" t="n">
        <x:v>0.538</x:v>
      </x:c>
      <x:c r="G17" s="9" t="n">
        <x:v>0.561</x:v>
      </x:c>
      <x:c r="H17" s="9" t="n">
        <x:v>0.786</x:v>
      </x:c>
      <x:c r="I17" s="9" t="n">
        <x:v>0.875</x:v>
      </x:c>
      <x:c r="J17" s="9" t="n">
        <x:v>0.658</x:v>
      </x:c>
      <x:c r="K17" s="9" t="n">
        <x:v>0.504</x:v>
      </x:c>
      <x:c r="L17" s="9" t="n">
        <x:v>0.859</x:v>
      </x:c>
      <x:c r="M17" s="9" t="n">
        <x:v>0.93</x:v>
      </x:c>
      <x:c r="N17" s="10" t="str">
        <x:v>NM&gt;LP</x:v>
      </x:c>
      <x:c r="O17" s="10" t="str">
        <x:v>2 graphs (sequential), 2 tasks (sequential)</x:v>
      </x:c>
    </x:row>
    <x:row r="18">
      <x:c r="A18" s="8" t="str">
        <x:v>covid19_twitter+nm&gt;ukr_rus_twitter+lp</x:v>
      </x:c>
      <x:c r="B18" s="9" t="n">
        <x:v>0.857</x:v>
      </x:c>
      <x:c r="C18" s="9" t="n">
        <x:v>0.884</x:v>
      </x:c>
      <x:c r="D18" s="9" t="n">
        <x:v>0.626</x:v>
      </x:c>
      <x:c r="E18" s="9" t="n">
        <x:v>0.636</x:v>
      </x:c>
      <x:c r="F18" s="9" t="n">
        <x:v>0.632</x:v>
      </x:c>
      <x:c r="G18" s="9" t="n">
        <x:v>0.587</x:v>
      </x:c>
      <x:c r="H18" s="9" t="n">
        <x:v>0.777</x:v>
      </x:c>
      <x:c r="I18" s="9" t="n">
        <x:v>0.803</x:v>
      </x:c>
      <x:c r="J18" s="9" t="n">
        <x:v>0.653</x:v>
      </x:c>
      <x:c r="K18" s="9" t="n">
        <x:v>0.539</x:v>
      </x:c>
      <x:c r="L18" s="9" t="n">
        <x:v>0.891</x:v>
      </x:c>
      <x:c r="M18" s="9" t="n">
        <x:v>0.916</x:v>
      </x:c>
      <x:c r="N18" s="10" t="str">
        <x:v>NM&gt;LP</x:v>
      </x:c>
      <x:c r="O18" s="10" t="str">
        <x:v>2 graphs (sequential), 2 tasks (sequential)</x:v>
      </x:c>
    </x:row>
    <x:row r="19">
      <x:c r="A19" s="8" t="str">
        <x:v>midterm+nm&gt;ukr_rus_twitter+lp</x:v>
      </x:c>
      <x:c r="B19" s="9" t="n">
        <x:v>0.849</x:v>
      </x:c>
      <x:c r="C19" s="9" t="n">
        <x:v>0.935</x:v>
      </x:c>
      <x:c r="D19" s="9" t="n">
        <x:v>0.586</x:v>
      </x:c>
      <x:c r="E19" s="9" t="n">
        <x:v>0.618</x:v>
      </x:c>
      <x:c r="F19" s="9" t="n">
        <x:v>0.571</x:v>
      </x:c>
      <x:c r="G19" s="9" t="n">
        <x:v>0.631</x:v>
      </x:c>
      <x:c r="H19" s="9" t="n">
        <x:v>0.791</x:v>
      </x:c>
      <x:c r="I19" s="9" t="n">
        <x:v>0.872</x:v>
      </x:c>
      <x:c r="J19" s="9" t="n">
        <x:v>0.661</x:v>
      </x:c>
      <x:c r="K19" s="9" t="n">
        <x:v>0.504</x:v>
      </x:c>
      <x:c r="L19" s="9" t="n">
        <x:v>0.905</x:v>
      </x:c>
      <x:c r="M19" s="9" t="n">
        <x:v>0.95</x:v>
      </x:c>
      <x:c r="N19" s="10" t="str">
        <x:v>NM&gt;LP</x:v>
      </x:c>
      <x:c r="O19" s="10" t="str">
        <x:v>2 graphs (sequential), 2 tasks (sequential)</x:v>
      </x:c>
    </x:row>
    <x:row r="20">
      <x:c r="A20" s="8" t="str">
        <x:v>merged_nm</x:v>
      </x:c>
      <x:c r="B20" s="9" t="n">
        <x:v>0.818</x:v>
      </x:c>
      <x:c r="C20" s="9" t="n">
        <x:v>0.99</x:v>
      </x:c>
      <x:c r="D20" s="9" t="n">
        <x:v>0.717</x:v>
      </x:c>
      <x:c r="E20" s="9" t="n">
        <x:v>0.597</x:v>
      </x:c>
      <x:c r="F20" s="9" t="n">
        <x:v>0.713</x:v>
      </x:c>
      <x:c r="G20" s="9" t="n">
        <x:v>0.73</x:v>
      </x:c>
      <x:c r="H20" s="9" t="n">
        <x:v>0.74</x:v>
      </x:c>
      <x:c r="I20" s="9" t="n">
        <x:v>0.942</x:v>
      </x:c>
      <x:c r="J20" s="9" t="n">
        <x:v>0.78</x:v>
      </x:c>
      <x:c r="K20" s="9" t="n">
        <x:v>0.488</x:v>
      </x:c>
      <x:c r="L20" s="9" t="n">
        <x:v>0.772</x:v>
      </x:c>
      <x:c r="M20" s="9" t="n">
        <x:v>0.985</x:v>
      </x:c>
      <x:c r="N20" s="10" t="str">
        <x:v>Ukr/Cov-NM</x:v>
      </x:c>
      <x:c r="O20" s="10" t="str">
        <x:v>2 graphs (merged), 1 task</x:v>
      </x:c>
    </x:row>
    <x:row r="21">
      <x:c r="A21" s="8" t="str">
        <x:v>merged_lp</x:v>
      </x:c>
      <x:c r="B21" s="9" t="n">
        <x:v>0.844</x:v>
      </x:c>
      <x:c r="C21" s="9" t="n">
        <x:v>0.935</x:v>
      </x:c>
      <x:c r="D21" s="9" t="n">
        <x:v>0.559</x:v>
      </x:c>
      <x:c r="E21" s="9" t="n">
        <x:v>0.544</x:v>
      </x:c>
      <x:c r="F21" s="9" t="n">
        <x:v>0.535</x:v>
      </x:c>
      <x:c r="G21" s="9" t="n">
        <x:v>0.528</x:v>
      </x:c>
      <x:c r="H21" s="9" t="n">
        <x:v>0.664</x:v>
      </x:c>
      <x:c r="I21" s="9" t="n">
        <x:v>0.844</x:v>
      </x:c>
      <x:c r="J21" s="9" t="n">
        <x:v>0.638</x:v>
      </x:c>
      <x:c r="K21" s="9" t="n">
        <x:v>0.511</x:v>
      </x:c>
      <x:c r="L21" s="9" t="n">
        <x:v>0.8</x:v>
      </x:c>
      <x:c r="M21" s="9" t="n">
        <x:v>0.932</x:v>
      </x:c>
      <x:c r="N21" s="10" t="str">
        <x:v>Ukr/Cov-LP</x:v>
      </x:c>
      <x:c r="O21" s="10" t="str">
        <x:v>2 graphs (merged), 1 task</x:v>
      </x:c>
    </x:row>
    <x:row r="22">
      <x:c r="A22" s="11" t="str">
        <x:v>merged_ukr_covid_midterm_aug_10k</x:v>
      </x:c>
      <x:c r="B22" s="12" t="n">
        <x:v>0.781</x:v>
      </x:c>
      <x:c r="C22" s="12" t="n">
        <x:v>0.987</x:v>
      </x:c>
      <x:c r="D22" s="12" t="n">
        <x:v>0.886</x:v>
      </x:c>
      <x:c r="E22" s="12" t="n">
        <x:v>0.871</x:v>
      </x:c>
      <x:c r="F22" s="12" t="n">
        <x:v>0.871</x:v>
      </x:c>
      <x:c r="G22" s="12" t="n">
        <x:v>0.977</x:v>
      </x:c>
      <x:c r="H22" s="12" t="n">
        <x:v>0.718</x:v>
      </x:c>
      <x:c r="I22" s="12" t="n">
        <x:v>0.913</x:v>
      </x:c>
      <x:c r="J22" s="12" t="n">
        <x:v>0.811</x:v>
      </x:c>
      <x:c r="K22" s="12" t="n">
        <x:v>0.537</x:v>
      </x:c>
      <x:c r="L22" s="12" t="n">
        <x:v>0.808</x:v>
      </x:c>
      <x:c r="M22" s="12" t="n">
        <x:v>0.945</x:v>
      </x:c>
      <x:c r="N22" s="13" t="str">
        <x:v>NM/FM-Ukr/Cov/Mid-10k</x:v>
      </x:c>
      <x:c r="O22" s="13" t="str">
        <x:v>3 graphs (merged), 2 tasks (joint)</x:v>
      </x:c>
    </x:row>
  </x:sheetData>
  <x:conditionalFormatting sqref="B2:M22">
    <x:cfRule type="colorScale" priority="1">
      <x:colorScale>
        <x:cfvo type="min"/>
        <x:cfvo type="percentile" val="50"/>
        <x:cfvo type="max"/>
        <x:color rgb="FFFDECEC"/>
        <x:color rgb="FFFFF4CC"/>
        <x:color rgb="FFDFF3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5dc320bcb214d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39" t="str">
        <x:v>How to read this workbook</x:v>
      </x:c>
      <x:c r="B1" s="139"/>
      <x:c r="C1" s="139"/>
      <x:c r="D1" s="139"/>
      <x:c r="E1" s="139"/>
      <x:c r="F1" s="139"/>
      <x:c r="G1" s="139"/>
      <x:c r="H1" s="139"/>
    </x:row>
    <x:row r="2">
      <x:c r="A2" s="139"/>
      <x:c r="B2" s="139"/>
      <x:c r="C2" s="139"/>
      <x:c r="D2" s="139"/>
      <x:c r="E2" s="139"/>
      <x:c r="F2" s="139"/>
      <x:c r="G2" s="139"/>
      <x:c r="H2" s="139"/>
    </x:row>
    <x:row r="4">
      <x:c r="A4" s="145" t="str">
        <x:v>View</x:v>
      </x:c>
      <x:c r="B4" s="145" t="str">
        <x:v>Purpose</x:v>
      </x:c>
      <x:c r="D4" s="147" t="str">
        <x:v>Recommended decision rule</x:v>
      </x:c>
      <x:c r="E4" s="147"/>
      <x:c r="F4" s="147"/>
      <x:c r="G4" s="147"/>
      <x:c r="H4" s="147"/>
    </x:row>
    <x:row r="5" ht="28" customHeight="1">
      <x:c r="A5" s="10" t="str">
        <x:v>Dashboard</x:v>
      </x:c>
      <x:c r="B5" s="10" t="str">
        <x:v>Decision summary plus two charts: overall ranking and LP/NM/PL transfer profiles.</x:v>
      </x:c>
      <x:c r="D5" s="166" t="str">
        <x:v>Do not select a winner from one score alone.
Primary: balanced score (equal task-family weight).
Tie-breaker: mean test rank and mean regret.
Constraint check: inspect LP/NM/PL means for the deployment mix.
Statistical gate: rerun finalists across multiple seeds before declaring small gaps real.
Current finalists: midterm+nm → covid19_twitter+nm; merged_ukr_covid_midterm_aug_10k; covid19_twitter+nm.</x:v>
      </x:c>
      <x:c r="E5" s="167"/>
      <x:c r="F5" s="167"/>
      <x:c r="G5" s="167"/>
      <x:c r="H5" s="168"/>
    </x:row>
    <x:row r="6" ht="28" customHeight="1">
      <x:c r="A6" s="10" t="str">
        <x:v>Metrics</x:v>
      </x:c>
      <x:c r="B6" s="10" t="str">
        <x:v>Formula-driven per-approach aggregates, rank consistency, wins, and regret.</x:v>
      </x:c>
      <x:c r="D6" s="169"/>
      <x:c r="E6" s="170"/>
      <x:c r="F6" s="170"/>
      <x:c r="G6" s="170"/>
      <x:c r="H6" s="171"/>
    </x:row>
    <x:row r="7" ht="28" customHeight="1">
      <x:c r="A7" s="10" t="str">
        <x:v>Heatmap</x:v>
      </x:c>
      <x:c r="B7" s="10" t="str">
        <x:v>Exact per-test pattern. Use it to see specialization and catastrophic transfer failures.</x:v>
      </x:c>
      <x:c r="D7" s="169"/>
      <x:c r="E7" s="170"/>
      <x:c r="F7" s="170"/>
      <x:c r="G7" s="170"/>
      <x:c r="H7" s="171"/>
    </x:row>
    <x:row r="8" ht="28" customHeight="1">
      <x:c r="A8" s="10" t="str">
        <x:v>Raw Data</x:v>
      </x:c>
      <x:c r="B8" s="10" t="str">
        <x:v>Original TSV values, unchanged.</x:v>
      </x:c>
      <x:c r="D8" s="169"/>
      <x:c r="E8" s="170"/>
      <x:c r="F8" s="170"/>
      <x:c r="G8" s="170"/>
      <x:c r="H8" s="171"/>
    </x:row>
    <x:row r="9" ht="28" customHeight="1">
      <x:c r="A9" s="10" t="str">
        <x:v>Balanced score</x:v>
      </x:c>
      <x:c r="B9" s="10" t="str">
        <x:v>Average of LP mean, NM mean, and PL mean. Each task family gets equal weight.</x:v>
      </x:c>
      <x:c r="D9" s="169"/>
      <x:c r="E9" s="170"/>
      <x:c r="F9" s="170"/>
      <x:c r="G9" s="170"/>
      <x:c r="H9" s="171"/>
    </x:row>
    <x:row r="10" ht="28" customHeight="1">
      <x:c r="A10" s="19" t="str">
        <x:v>Mean test rank</x:v>
      </x:c>
      <x:c r="B10" s="19" t="str">
        <x:v>Average rank over the 12 test columns. Lower is better; robust to column difficulty.</x:v>
      </x:c>
      <x:c r="D10" s="172"/>
      <x:c r="E10" s="173"/>
      <x:c r="F10" s="173"/>
      <x:c r="G10" s="173"/>
      <x:c r="H10" s="174"/>
    </x:row>
    <x:row r="12">
      <x:c r="A12" s="176" t="str">
        <x:v>Interpretation caveats</x:v>
      </x:c>
      <x:c r="B12" s="176"/>
      <x:c r="C12" s="176"/>
      <x:c r="D12" s="176"/>
      <x:c r="E12" s="176"/>
      <x:c r="F12" s="176"/>
      <x:c r="G12" s="176"/>
      <x:c r="H12" s="176"/>
    </x:row>
    <x:row r="13" ht="28" customHeight="1">
      <x:c r="A13" s="196" t="str">
        <x:v>• One result per approach/test means there is no estimate of run-to-run variance.
• Test columns differ in difficulty; raw averages favor families with more columns, which is why the dashboard includes balanced score and mean rank.
• Some tests overlap pretraining graph domains. For a strict out-of-domain claim, add a flag for graph overlap and report in-domain vs out-of-domain aggregates separately.
• The experiment matrix is not factorial: the 3-graph result simultaneously changes graph count, task count, merge/joint strategy, and augmentation. Add matched ablations before claiming which ingredient caused the gain.
• ukr_rus_suspended+pl is near chance for every approach and compresses worst-case statistics; inspect it separately rather than using minimum score as the main selector.</x:v>
      </x:c>
      <x:c r="B13" s="197"/>
      <x:c r="C13" s="197"/>
      <x:c r="D13" s="197"/>
      <x:c r="E13" s="197"/>
      <x:c r="F13" s="197"/>
      <x:c r="G13" s="197"/>
      <x:c r="H13" s="198"/>
    </x:row>
    <x:row r="14" ht="28" customHeight="1">
      <x:c r="A14" s="199"/>
      <x:c r="B14" s="200"/>
      <x:c r="C14" s="200"/>
      <x:c r="D14" s="200"/>
      <x:c r="E14" s="200"/>
      <x:c r="F14" s="200"/>
      <x:c r="G14" s="200"/>
      <x:c r="H14" s="201"/>
    </x:row>
    <x:row r="15" ht="28" customHeight="1">
      <x:c r="A15" s="199"/>
      <x:c r="B15" s="200"/>
      <x:c r="C15" s="200"/>
      <x:c r="D15" s="200"/>
      <x:c r="E15" s="200"/>
      <x:c r="F15" s="200"/>
      <x:c r="G15" s="200"/>
      <x:c r="H15" s="201"/>
    </x:row>
    <x:row r="16" ht="28" customHeight="1">
      <x:c r="A16" s="199"/>
      <x:c r="B16" s="200"/>
      <x:c r="C16" s="200"/>
      <x:c r="D16" s="200"/>
      <x:c r="E16" s="200"/>
      <x:c r="F16" s="200"/>
      <x:c r="G16" s="200"/>
      <x:c r="H16" s="201"/>
    </x:row>
    <x:row r="17" ht="28" customHeight="1">
      <x:c r="A17" s="202"/>
      <x:c r="B17" s="203"/>
      <x:c r="C17" s="203"/>
      <x:c r="D17" s="203"/>
      <x:c r="E17" s="203"/>
      <x:c r="F17" s="203"/>
      <x:c r="G17" s="203"/>
      <x:c r="H17" s="204"/>
    </x:row>
  </x:sheetData>
  <x:mergeCells>
    <x:mergeCell ref="A1:H2"/>
    <x:mergeCell ref="D4:H4"/>
    <x:mergeCell ref="D5:H10"/>
    <x:mergeCell ref="A12:H12"/>
    <x:mergeCell ref="A13:H17"/>
  </x:mergeCells>
  <x:pageMargins left="0.7" right="0.7" top="0.75" bottom="0.75" header="0.3" footer="0.3"/>
</x:worksheet>
</file>